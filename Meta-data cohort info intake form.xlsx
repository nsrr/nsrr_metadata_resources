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wopi.dropbox.com/wopi/files/oid_8711087687008136960/WOPIServiceId_TP_DROPBOX_PLUS/WOPIUserId_-/"/>
    </mc:Choice>
  </mc:AlternateContent>
  <xr:revisionPtr revIDLastSave="49" documentId="8_{5CDF175F-70F3-433F-BD8D-A744A3E0799D}" xr6:coauthVersionLast="47" xr6:coauthVersionMax="47" xr10:uidLastSave="{115E97A6-0BD8-4330-9A14-9DF3F85425BF}"/>
  <bookViews>
    <workbookView xWindow="-28920" yWindow="-120" windowWidth="29040" windowHeight="15720" tabRatio="991" activeTab="2" xr2:uid="{00000000-000D-0000-FFFF-FFFF00000000}"/>
  </bookViews>
  <sheets>
    <sheet name="Overview" sheetId="1" r:id="rId1"/>
    <sheet name="Actigraphy" sheetId="12" r:id="rId2"/>
    <sheet name="Polysomnography" sheetId="2" r:id="rId3"/>
    <sheet name="Polysomnography_Signals" sheetId="15" r:id="rId4"/>
    <sheet name="Animal" sheetId="11" r:id="rId5"/>
    <sheet name="clinical_guidelines" sheetId="3" r:id="rId6"/>
    <sheet name="scoring_method" sheetId="14" state="hidden" r:id="rId7"/>
    <sheet name="sleep_questionniare" sheetId="10" state="hidden" r:id="rId8"/>
    <sheet name="access_restriction_list" sheetId="9" state="hidden" r:id="rId9"/>
    <sheet name="study_deisng_input" sheetId="4" state="hidden" r:id="rId10"/>
    <sheet name="gender_input" sheetId="5" state="hidden" r:id="rId11"/>
    <sheet name="blinded_input" sheetId="6" state="hidden" r:id="rId12"/>
    <sheet name="boolean_input" sheetId="7"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 i="1" l="1"/>
  <c r="D9" i="1"/>
  <c r="D43" i="1"/>
  <c r="A2" i="7"/>
  <c r="A1" i="7"/>
  <c r="D42" i="1"/>
  <c r="D21" i="1"/>
  <c r="D35" i="1"/>
</calcChain>
</file>

<file path=xl/sharedStrings.xml><?xml version="1.0" encoding="utf-8"?>
<sst xmlns="http://schemas.openxmlformats.org/spreadsheetml/2006/main" count="602" uniqueCount="418">
  <si>
    <r>
      <t xml:space="preserve">Instructions: </t>
    </r>
    <r>
      <rPr>
        <sz val="11"/>
        <color rgb="FF000000"/>
        <rFont val="Calibri"/>
        <family val="2"/>
      </rPr>
      <t xml:space="preserve">For each row, please enter the appropriate information under Column  E, Value (highlighted in yellow). Note there are multiple sheets within this workbook (Overview, Actigraphy, Polysomnography, Polysomnography Signals, Animal). Please check and complete all appropriate sheets. If you have any questions, please contact the NSRR Team and they will provide additional guidance. </t>
    </r>
  </si>
  <si>
    <t>Name</t>
  </si>
  <si>
    <t>Definition</t>
  </si>
  <si>
    <t>Format</t>
  </si>
  <si>
    <t>Examples</t>
  </si>
  <si>
    <t>Value</t>
  </si>
  <si>
    <t>Study Administration and Timeline</t>
  </si>
  <si>
    <t>study_name</t>
  </si>
  <si>
    <t>Study name (full name)</t>
  </si>
  <si>
    <t>character</t>
  </si>
  <si>
    <t>Apnea, Bariatric surgery, and CPAP study</t>
  </si>
  <si>
    <t>study_code</t>
  </si>
  <si>
    <t xml:space="preserve">Acronym for the study. Please limit the acronym to 10 characters if possible, and make sure it does not contain any special characters or space (use dash or underscore instead). The acronym will be used in the url for the dataset and shown on the cohort matrix web application. </t>
  </si>
  <si>
    <t>abc</t>
  </si>
  <si>
    <t>study_conducted_from</t>
  </si>
  <si>
    <t>The start date when the study was conducted.</t>
  </si>
  <si>
    <t>yyyy-mm or yyyy</t>
  </si>
  <si>
    <t>2010-11</t>
  </si>
  <si>
    <t>study_conducted_till</t>
  </si>
  <si>
    <t>End date of data collection. Use "present" if ongoing.</t>
  </si>
  <si>
    <t>2014-12</t>
  </si>
  <si>
    <t>study_recruitment_complete</t>
  </si>
  <si>
    <t>Indicate whether participant recruitment is complete.</t>
  </si>
  <si>
    <t>logic</t>
  </si>
  <si>
    <t>study_followup_complete</t>
  </si>
  <si>
    <t>Indicate whether participant followup data collection is completed</t>
  </si>
  <si>
    <t>study_investigator_name</t>
  </si>
  <si>
    <t>Name of the Principal Investigator (PI).</t>
  </si>
  <si>
    <t>Sanjay R Patel</t>
  </si>
  <si>
    <t>study_investigator_affiliation</t>
  </si>
  <si>
    <t>Institutional affiliation of the PI.</t>
  </si>
  <si>
    <t>University of Pittsburgh</t>
  </si>
  <si>
    <t>study_support_source</t>
  </si>
  <si>
    <t>Name(s) of supporting agency/funder.</t>
  </si>
  <si>
    <t>National Institute of Health (NIH)</t>
  </si>
  <si>
    <t>study_support_id</t>
  </si>
  <si>
    <t>Grant or support ID(s), separated by commas.</t>
  </si>
  <si>
    <t>R01HL106410, K24HL127307</t>
  </si>
  <si>
    <t>study_access_retrictions</t>
  </si>
  <si>
    <t>Any data access limitations.</t>
  </si>
  <si>
    <t>drop-down list</t>
  </si>
  <si>
    <t>non-commercial use only</t>
  </si>
  <si>
    <t>study_associated</t>
  </si>
  <si>
    <t>Related studies (e.g., parent studies, substudies).</t>
  </si>
  <si>
    <t>NA</t>
  </si>
  <si>
    <t>study_keywords</t>
  </si>
  <si>
    <r>
      <rPr>
        <b/>
        <sz val="11"/>
        <color rgb="FF000000"/>
        <rFont val="Calibri"/>
        <family val="2"/>
      </rPr>
      <t>(Optional)</t>
    </r>
    <r>
      <rPr>
        <sz val="11"/>
        <color rgb="FF000000"/>
        <rFont val="Calibri"/>
        <family val="2"/>
        <charset val="1"/>
      </rPr>
      <t xml:space="preserve"> Additional keywords to increase the discoverability of your data. Suggested keywords: study population, intervention, data collection, etc.</t>
    </r>
  </si>
  <si>
    <t>adenotonsillectomy;wearable device; menopause;neuro-cognitive function</t>
  </si>
  <si>
    <t>Study Overview</t>
  </si>
  <si>
    <t>study_description</t>
  </si>
  <si>
    <t>A brief description of the study’s purpose, general objectives, and what it aims to discover or determine.</t>
  </si>
  <si>
    <t>free text</t>
  </si>
  <si>
    <t>The Apnea, Bariatric surgery, and CPAP (ABC) study aimed to assess the role of bariatric (weight loss) surgery as compared to continuous positive airway pressure (CPAP) therapy plus weight loss counseling for the treatment of patients with class II obesity and those who have severe obstructive sleep apnea (OSA).</t>
  </si>
  <si>
    <t>study_data_description</t>
  </si>
  <si>
    <t>A brief description of the data (e.g. anthropometry, demographic, polysomnography, etc.)availablefor this study.</t>
  </si>
  <si>
    <t>The data sets include administrative data, anthropometry data, demographic information and polysomnography data.</t>
  </si>
  <si>
    <t>study_design</t>
  </si>
  <si>
    <t>Study design type.</t>
  </si>
  <si>
    <t>paralell group RCT</t>
  </si>
  <si>
    <t>study_longitudinal</t>
  </si>
  <si>
    <t>Indicates whether the study has longitudinal or time-series data</t>
  </si>
  <si>
    <t>study_visits_number</t>
  </si>
  <si>
    <t>For longitudinal studies, number of study visits per participant.</t>
  </si>
  <si>
    <t>numeric</t>
  </si>
  <si>
    <t>Study Design and Study Population</t>
  </si>
  <si>
    <t>study_primary_outcomes</t>
  </si>
  <si>
    <t xml:space="preserve">The planned outcome measure(s) that are the most important for evaluating the effect of an intervention/treatment or determining the outcome of interest in a cohort study. </t>
  </si>
  <si>
    <t>Effective Apnea Hypopnea Index; Epworth Sleepiness Score</t>
  </si>
  <si>
    <t>study_secondary_outcomes</t>
  </si>
  <si>
    <t>A set of planned outcome measures that are not as important as the primary outcome measure for evaluating the effect of an intervention or determining the outcome of interest of a cohort study, but is still of interest.</t>
  </si>
  <si>
    <t>Mean 24-hour Systolic Blood Pressure; Insulin Resistance (HOMA Index); Calgary Sleep Apnea Quality of Life Index; Depression (Patient Health Questionnaire-9); Direct Health Care Costs;  Mean 24-hour Diastolic Blood Pressure</t>
  </si>
  <si>
    <t>study_primary_exposures</t>
  </si>
  <si>
    <t>Preidentified most important exposures or events of interest that are followed in time until the disease or outcome of interest occurs</t>
  </si>
  <si>
    <t>Intervention arms</t>
  </si>
  <si>
    <t>study_secondary_exposures</t>
  </si>
  <si>
    <t>Preidentified exposures or events of interest that are not as imporant as the primary exposures but still of interest and followed in time until the disease or outcome of interest occurs</t>
  </si>
  <si>
    <t>study_age_eligible</t>
  </si>
  <si>
    <t>Age group(s) elibigle for the study</t>
  </si>
  <si>
    <t>Age group: age range</t>
  </si>
  <si>
    <t>adult:18-65yr;older adult: 65-75yr</t>
  </si>
  <si>
    <t>study_gender_eligible</t>
  </si>
  <si>
    <t>Gender group(s) eligible for the study</t>
  </si>
  <si>
    <t>all sexes</t>
  </si>
  <si>
    <t>study_inclusion_criteria</t>
  </si>
  <si>
    <t>List all the inclusion criteria</t>
  </si>
  <si>
    <t>Severe sleep apnea with at least 1 referable symptom; Obesity (BMI 35-45 kg/m2)</t>
  </si>
  <si>
    <t>study_exclusion_criteria</t>
  </si>
  <si>
    <t>List all the exclusion criteria</t>
  </si>
  <si>
    <t>Prior use of CPAP within the last two years or prior bariatric surgery; Hypoxemia or hypercapnia; Elevated peri-operative risk; Drowsy driving in past year; Unstable medical or psychiatric conditions</t>
  </si>
  <si>
    <t>study_enrollment_number</t>
  </si>
  <si>
    <t>Number of subjects enrolled at baseline</t>
  </si>
  <si>
    <t>study_sleep_intervention</t>
  </si>
  <si>
    <t>If any sleep interventions were implemented during the study</t>
  </si>
  <si>
    <t>sleep deprivation;sleep restriction</t>
  </si>
  <si>
    <t>Clinical Trial Details</t>
  </si>
  <si>
    <t>study_is_clinical_trial</t>
  </si>
  <si>
    <t>Whether or not the study is a clinical trial</t>
  </si>
  <si>
    <t>study_clinical_trial_id</t>
  </si>
  <si>
    <t>ClinicalTrials.gov ID</t>
  </si>
  <si>
    <t>study_intervention_allocation</t>
  </si>
  <si>
    <t>For clinical trial studies, describe how participants are assigned to treatment vs. control groups (e.g., randomized, non-randomized).</t>
  </si>
  <si>
    <t>randomized</t>
  </si>
  <si>
    <t>study_intervention_model</t>
  </si>
  <si>
    <t>For clinical trials, describe the intervention arm assignment structure (e.g., parallel, crossover).</t>
  </si>
  <si>
    <t>parallel assignment</t>
  </si>
  <si>
    <t>study_intervention_blinded</t>
  </si>
  <si>
    <t>For clinical trials, indicate if the study is single-blind, double-blind, or unblinded.</t>
  </si>
  <si>
    <t>single</t>
  </si>
  <si>
    <t>study_intervention_groups</t>
  </si>
  <si>
    <t>For clinical trials, list the intervention or treatment groups.</t>
  </si>
  <si>
    <t>Type of intervention: name of the intervention</t>
  </si>
  <si>
    <t>Behavioral: Conservative Medical Therapy (CMT); Device: Sham PAP (Sham);Device: Active PAP with RT Support (Active-Beh); Device: Active PAP with Behavioral; Modification (Active+Beh)</t>
  </si>
  <si>
    <t>Data Sharing and Regulatory Info</t>
  </si>
  <si>
    <t>study_shared_dbgap</t>
  </si>
  <si>
    <t>Data available on dbGaP?</t>
  </si>
  <si>
    <t>study_intention_dbgap</t>
  </si>
  <si>
    <t>Plan to share on dbGaP?</t>
  </si>
  <si>
    <t>study_dbgap_accession_number</t>
  </si>
  <si>
    <t>dbGaP Accession Number</t>
  </si>
  <si>
    <t>study_shared_biolincc</t>
  </si>
  <si>
    <t>Data available on BioLINCC?</t>
  </si>
  <si>
    <t>study_existing_limitations</t>
  </si>
  <si>
    <t xml:space="preserve">List any existing data use limitations with dbGaP and/or BioLINCC. Examples: HMB-MDS, DS-CVD-NPU-MDS. Please refer to the NIH documentation for standard data use limitation terms: https://sharing.nih.gov/sites/default/files/flmngr/standard_data_use_limitations.pdf </t>
  </si>
  <si>
    <t>GRU-NPU</t>
  </si>
  <si>
    <t>Documentation and Acknowledgment</t>
  </si>
  <si>
    <t>study_citation_list</t>
  </si>
  <si>
    <t>Provide the primary citations that describe the key deisng elements of the study for users when using this dataset</t>
  </si>
  <si>
    <t>Bakker JP, Tavakkoli A, Rueschman M, Wang W, Andrews R, Malhotra A, Owens RL, Anand A, Dudley KA, Patel SR. Gastric Banding Surgery versus Continuous Positive Airway Pressure for Obstructive Sleep Apnea: A Randomized Controlled Trial. Am J Respir Crit Care Med. 2018 Apr 15;197(8):1080-1083. doi: 10.1164/rccm.201708-1637LE. PMID: 29035093; PMCID: PMC5909166.</t>
  </si>
  <si>
    <t>study_acknowledgement_text</t>
  </si>
  <si>
    <t>Required acknowledgment language.</t>
  </si>
  <si>
    <t>The Apnea, Bariatric surgery, and CPAP study (ABC Study) was supported by National Institutes of Health grants R01HL106410 and K24HL127307. Philips Respironics donated the CPAP machines and supplies used in the perioperative period for patients undergoing bariatric surgery. The National Sleep Research Resource was supported by the National Heart, Lung, and Blood Institute (R24 HL114473, 75N92019R002).</t>
  </si>
  <si>
    <t>study_demographic_source</t>
  </si>
  <si>
    <t>Source of the demogrpahic information (e.g., sex, race, ethnicity)</t>
  </si>
  <si>
    <t>data:source</t>
  </si>
  <si>
    <t>sex: self-report; race: electronic mediccal records</t>
  </si>
  <si>
    <t>Instruments and Protocol</t>
  </si>
  <si>
    <t>study_validated_instruments</t>
  </si>
  <si>
    <t>List all the validated instruments used in the study</t>
  </si>
  <si>
    <t>Epworth Sleepiness Scale; Calgary Sleep Apnea Quality of Life Index; Patient Health Questionnaire-9</t>
  </si>
  <si>
    <t>study_equipment_list</t>
  </si>
  <si>
    <t xml:space="preserve">Please list all equipment and devices used to capture biometric or clinical data, such as polysomnography, actigraphy, blood samples, etc. </t>
  </si>
  <si>
    <t>Datatype: device or equipment</t>
  </si>
  <si>
    <t>Polysomnography: Compumedics E-Series (Abbotsford; Victoria Australia); ECG: MAC 1200 electrocardiograph</t>
  </si>
  <si>
    <t>study_protocol_deviations</t>
  </si>
  <si>
    <t>If there are any protocol deviations or special circumstances (e.g., site-specific modifications) that need to be disclosed.</t>
  </si>
  <si>
    <t>Sleep polysomnography data collection protocol was modified due to the COVID-19 pandemic. Details can be found in published paper […]</t>
  </si>
  <si>
    <t>data_category</t>
  </si>
  <si>
    <t xml:space="preserve">Category of the biometric data being collected (e.g., polysomnography, actigraphy, EKG, ECG, etc.). Multiple columns for actigraphy should be filled out if different data collection, annotation, scoring, analysis protocols were used for different study population or diffferent time points. </t>
  </si>
  <si>
    <t>actigraphy</t>
  </si>
  <si>
    <t>data_type</t>
  </si>
  <si>
    <t>The nature of the data (i.e., raw, annotated, calculated, etc.)</t>
  </si>
  <si>
    <t>raw; annotated</t>
  </si>
  <si>
    <t>data_format</t>
  </si>
  <si>
    <t>Format of the biometric data files.</t>
  </si>
  <si>
    <t>DataType: DataFormat</t>
  </si>
  <si>
    <t>raw: EDF; annotated: XML</t>
  </si>
  <si>
    <t>device_manufacturer</t>
  </si>
  <si>
    <t>Actigraphy device manufacturer</t>
  </si>
  <si>
    <t>Philips</t>
  </si>
  <si>
    <t xml:space="preserve">ActiGraph </t>
  </si>
  <si>
    <t>device_model</t>
  </si>
  <si>
    <t>Actigraphy device model</t>
  </si>
  <si>
    <t>Spectrum</t>
  </si>
  <si>
    <t>Actiwatch 2, ActiGraph wGT3X-BT® Activity Monitor</t>
  </si>
  <si>
    <t>device_sampling_freq</t>
  </si>
  <si>
    <t>Sampling rate for the raw actigraphy data.</t>
  </si>
  <si>
    <t>30 Hz, 60 Hz</t>
  </si>
  <si>
    <t>100Hz</t>
  </si>
  <si>
    <t>device_filter</t>
  </si>
  <si>
    <t>Filtering methods used</t>
  </si>
  <si>
    <t>Low frequency extension filter applied for sleep-related paramters</t>
  </si>
  <si>
    <t>Low frequency extension</t>
  </si>
  <si>
    <t>device_placement</t>
  </si>
  <si>
    <t>The placement of the actigrpahy device on the subject for data colleciton.</t>
  </si>
  <si>
    <t>nondominant wrist band for night sleep, trunk worn band for daytime activity</t>
  </si>
  <si>
    <t xml:space="preserve">non-dominant wrist </t>
  </si>
  <si>
    <t>collection_protocol</t>
  </si>
  <si>
    <t>Describe how the data was collected in terms of the temporal pattern and frequency (e.g., intermittent versus continuous, etc.)</t>
  </si>
  <si>
    <t>Three rounds of actigraphy collection (baseline, 3 month, and 6 month follow-up)</t>
  </si>
  <si>
    <t>Continuous for  7 days, and only take it off for contact sports, swimming or bathing.</t>
  </si>
  <si>
    <t>collection_sleeplog</t>
  </si>
  <si>
    <t>Indicate if sleep logs (i.e., sleep diaries) were completed by the participants to inform the scoring.</t>
  </si>
  <si>
    <t>collection_target_days</t>
  </si>
  <si>
    <t>Number of targeted days of monitoring</t>
  </si>
  <si>
    <t>Visit:NumberofDays</t>
  </si>
  <si>
    <t>baseline:3 days;3-month:7 days;6-month:7 days</t>
  </si>
  <si>
    <t>7 days</t>
  </si>
  <si>
    <t>collection_min_wear</t>
  </si>
  <si>
    <t>Minimum daily wear time requirements in hours</t>
  </si>
  <si>
    <t>numeric (hours)</t>
  </si>
  <si>
    <t>annotation_mehtod</t>
  </si>
  <si>
    <t>How was the raw actigraphy data scored (i.e., by hand, by machine, by both)</t>
  </si>
  <si>
    <t>dropdown</t>
  </si>
  <si>
    <t>by hand</t>
  </si>
  <si>
    <t>by both</t>
  </si>
  <si>
    <t>annotation_software</t>
  </si>
  <si>
    <t>Build-in software used to automatically annotatet actigraphy data</t>
  </si>
  <si>
    <t>Actiware, ActiLife</t>
  </si>
  <si>
    <t>Philips, Actiware 6</t>
  </si>
  <si>
    <t>annotation_epoch_interval</t>
  </si>
  <si>
    <t>Epoch interval in seconds for the processed actigraphy data</t>
  </si>
  <si>
    <t>numeric (seconds)</t>
  </si>
  <si>
    <t>annotation_rest_interval</t>
  </si>
  <si>
    <t>How were the rest intervals marked: automatically by the software or manually?</t>
  </si>
  <si>
    <t>manual</t>
  </si>
  <si>
    <t>annotation_detection_algorithm</t>
  </si>
  <si>
    <t>Algorithms used to detect sleep/wake (i.e., sustained inactivity and wakefulness periods)</t>
  </si>
  <si>
    <t>Cole-Kripke</t>
  </si>
  <si>
    <t>annotation_nonwear</t>
  </si>
  <si>
    <t>How nonwear was detected if at all (e.g, temperature sensor, capacitive touch, sleep log, manual mask, etc.)</t>
  </si>
  <si>
    <t>temperature sensor</t>
  </si>
  <si>
    <t>capacitive wear time sensor, self-report in the sleep diary, visual inspection by scorers</t>
  </si>
  <si>
    <t>definition_rest_period_onset</t>
  </si>
  <si>
    <t>How was the start of rest period (i.e. rest interval in Actiware or sleep period in ActiLife) determined? In other words, how does the scorer determine where to start marking the window of interest to measure the rest interval/sleep period?</t>
  </si>
  <si>
    <t>the time when the participant goes into bed based on sleep diary</t>
  </si>
  <si>
    <t xml:space="preserve">find the time when the activity count significantly decreases. Set activity count drop off time as the activity count before 0 is consistent for ≥ 10 epochs. </t>
  </si>
  <si>
    <t>definition_naps</t>
  </si>
  <si>
    <t>Definitions of "naps" in the actigraphy data. Describe how naps were annotated (if at all).</t>
  </si>
  <si>
    <t>15 continuous minutes of diminished activity outside of the main sleep interval</t>
  </si>
  <si>
    <t>a period of intentional or unintentional sleep, lasting at least 15 minutes, occurring outside of the main sleep period</t>
  </si>
  <si>
    <t>definition_sleep_bouts</t>
  </si>
  <si>
    <t>Definition of "sleep bouts" used in the study</t>
  </si>
  <si>
    <t>After manually defined the rest intervals, the Actiware software applied an automatic scoring algorithm to classify each 15-second epoch within that interval as either "sleep" or "wake"</t>
  </si>
  <si>
    <t>definition_wake_bouts</t>
  </si>
  <si>
    <t>Definition of "wake bouts" used in the study</t>
  </si>
  <si>
    <t>analysis_timezone</t>
  </si>
  <si>
    <t>Time zone information and/or daylight-saving time adjustements</t>
  </si>
  <si>
    <t>Devices were initialized on Eastern Time, and mailed to participants across the country. Sleep diaries were used to verify times reported by the participants against times reported by the watch. Scored files were converted to proper time zone.</t>
  </si>
  <si>
    <t>Data was collected avoiding participants travelling across timezones, and daylight savings time clock changes.</t>
  </si>
  <si>
    <t xml:space="preserve">Category of the biometric data being collected (e.g., polysomnography, actigraphy, EKG, ECG, etc.). Multiple columns for polysomnography or home sleep apnea test should be filled out if different data collection, annotation, scoring, analysis protocols were used for different study population or diffferent time points. </t>
  </si>
  <si>
    <t>polysomnography</t>
  </si>
  <si>
    <t>data_tool</t>
  </si>
  <si>
    <t>What software(s) can be used to read and manipulate this data format?</t>
  </si>
  <si>
    <t>DataFormat:DataTool</t>
  </si>
  <si>
    <t>csv:any statistical software;EDF: EDFbrowser; EDF:Luna</t>
  </si>
  <si>
    <t>data_availability</t>
  </si>
  <si>
    <t>Availability of different PSG data by visit/wave</t>
  </si>
  <si>
    <t>Visit:DataFormat</t>
  </si>
  <si>
    <t>baseline:EDF;baseline:XML;followup:EDF</t>
  </si>
  <si>
    <t>data_process</t>
  </si>
  <si>
    <t>Description of how the raw data is processed/annotated/compiled. For instance, for polysomnography data, data_process stores the descriptions of the annotation methods</t>
  </si>
  <si>
    <t>The annotation files contain ScoredEvent elements that provide names (tags), start times in seconds from beginning of recording, duration in seconds, and associated oxygen desaturation (if relevant) for each scored event. The SleepStage elements provide sleep and wake indicators for epoch-length periods of time incrementing from the start to the end of the recording. Zero (0) indicates wake, 1 indicates Stage N1, 2 indicates Stage 2, 3-4 indicates Stage 3-4, and 5 indicates REM sleep.</t>
  </si>
  <si>
    <t>device_info</t>
  </si>
  <si>
    <r>
      <t xml:space="preserve">Equipment and device used to capture the raw </t>
    </r>
    <r>
      <rPr>
        <sz val="11"/>
        <rFont val="Calibri"/>
        <family val="2"/>
        <charset val="1"/>
      </rPr>
      <t>polysomnography or HSAT d</t>
    </r>
    <r>
      <rPr>
        <sz val="11"/>
        <color rgb="FF000000"/>
        <rFont val="Calibri"/>
        <family val="2"/>
        <charset val="1"/>
      </rPr>
      <t>ata</t>
    </r>
  </si>
  <si>
    <t>Compumedics E-Series (Abbotsford, Victoria Australia)</t>
  </si>
  <si>
    <t>Sampling frequency for the raw data. For polysomnograhy data, the sampling rate and montage information can be submitted separately</t>
  </si>
  <si>
    <t>see attached document (montage_and_sampling_rate.pdf)</t>
  </si>
  <si>
    <t>device_test_type</t>
  </si>
  <si>
    <r>
      <rPr>
        <sz val="11"/>
        <color rgb="FF000000"/>
        <rFont val="Calibri"/>
        <family val="2"/>
        <charset val="1"/>
      </rPr>
      <t>For sleep monitoring data, the type of the sleep test is required.  Based on the CMS guidelines,  there are four types of sleep monitoring tests.</t>
    </r>
    <r>
      <rPr>
        <b/>
        <u/>
        <sz val="11"/>
        <color rgb="FF000000"/>
        <rFont val="Calibri"/>
        <family val="2"/>
        <charset val="1"/>
      </rPr>
      <t>Type I</t>
    </r>
    <r>
      <rPr>
        <sz val="11"/>
        <color rgb="FF000000"/>
        <rFont val="Calibri"/>
        <family val="2"/>
        <charset val="1"/>
      </rPr>
      <t>: Attended studies (sleep studies that are performed with the oversight of a sleep technologist) with full sleep staging (sleep staging monitors the transition through the sleep stages, traditionally with the use of EEG electrodes that monitor the brain). Type I devices must include the following channels:EEG,EOG,ECG/Heart rate,Chin EMG,Limb EMG,Respiratory effort at thorax and abdomen,Air Flow from nasal canula thermistor and/or X-Flow (AASM recommends RIP technology, Pulse Oximetry, and additional channels for CPAP/BiPap levels, CO2, pH, pressure, etc.</t>
    </r>
    <r>
      <rPr>
        <b/>
        <u/>
        <sz val="11"/>
        <color rgb="FF000000"/>
        <rFont val="Calibri"/>
        <family val="2"/>
        <charset val="1"/>
      </rPr>
      <t>Type II</t>
    </r>
    <r>
      <rPr>
        <sz val="11"/>
        <color rgb="FF000000"/>
        <rFont val="Calibri"/>
        <family val="2"/>
        <charset val="1"/>
      </rPr>
      <t>: Home sleep test (HST) with Type II portable monitor, unattended (sleep studies that are performed without the oversight of a sleep technologist), with a minimum of 7 channels. Type II devices must include the following channels: EEG, EOG, ECG/heart rate, EMG, airflow, respiratory effort, and oxygen saturation.</t>
    </r>
    <r>
      <rPr>
        <b/>
        <u/>
        <sz val="11"/>
        <color rgb="FF000000"/>
        <rFont val="Calibri"/>
        <family val="2"/>
        <charset val="1"/>
      </rPr>
      <t>Type III</t>
    </r>
    <r>
      <rPr>
        <sz val="11"/>
        <color rgb="FF000000"/>
        <rFont val="Calibri"/>
        <family val="2"/>
        <charset val="1"/>
      </rPr>
      <t>: Home sleep test (HST) with Type III portable monitor, unattended with a minimum of 4 channels. Type III devices must include the following channels: 2 respiratory movement/airflow, 1 ECG/heart rate, and 1 oxygen saturation.</t>
    </r>
    <r>
      <rPr>
        <b/>
        <u/>
        <sz val="11"/>
        <color rgb="FF000000"/>
        <rFont val="Calibri"/>
        <family val="2"/>
        <charset val="1"/>
      </rPr>
      <t>Type IV</t>
    </r>
    <r>
      <rPr>
        <sz val="11"/>
        <color rgb="FF000000"/>
        <rFont val="Calibri"/>
        <family val="2"/>
        <charset val="1"/>
      </rPr>
      <t>: Home sleep test (HST) with Type IV portable monitor, unattended; minimum of 3 channels. Type IV devices must allow channels that allow direct calculation of an AHI or RDI as the result of measuring airflow or thoracoabdominal movement. Alternatively devices that record other information to derive AHI or RDI must be approved by CMS through the review of published peer-reviewed medical literature.</t>
    </r>
  </si>
  <si>
    <t>numeric (1-4)</t>
  </si>
  <si>
    <t>collection_eeg</t>
  </si>
  <si>
    <t>annotation_staged</t>
  </si>
  <si>
    <t>Whether or not the polysomnography data was staged.</t>
  </si>
  <si>
    <t>annotation_scored</t>
  </si>
  <si>
    <t>Whether the polysomnography or HSAT data was scored by hand or by machine</t>
  </si>
  <si>
    <t>Machine</t>
  </si>
  <si>
    <t>annotation_method</t>
  </si>
  <si>
    <t>Description of the scoring method for the biometric data. For instance, for polysomnography data, method used for the event scoring and epoch staging annotations to produce XML files.</t>
  </si>
  <si>
    <t>Compumedics Profusion</t>
  </si>
  <si>
    <t>annotation_clinical_guidelines</t>
  </si>
  <si>
    <t>Clinical guidelines (see tab clinical_guidelines) that are used for scoring the respiratory events. If no reference for clinical guidelines can be found in the manual, please document the criteria for airflow reduction duration (e.g. &gt;=90% of the event duration, &gt;=10 sec, etc.) in the cell F10.</t>
  </si>
  <si>
    <t>aasm07_recommended</t>
  </si>
  <si>
    <t>definition_tag_hypopnea</t>
  </si>
  <si>
    <t>For polysomnography data, definition of "hypopnea" tag in the annotation file. Please specify the threshold for the signal reduction, and the type of signals used (e.g.  nasal cannula, thermistor/thermocouple, an effort belt, etc.)</t>
  </si>
  <si>
    <t>hypopneas with a reduction in  nasal cannula pressure between 30% and 50% from baseline levels</t>
  </si>
  <si>
    <t>definition_tag_unsure</t>
  </si>
  <si>
    <t>For polysomnography data, definition of "unsure" tag in the annotation file. Please specify the threshold for the signal reduction, and the type of signals used (e.g.  nasal cannula, thermistor/thermocouple, an effort belt, etc.)</t>
  </si>
  <si>
    <t>hypopneas with a reduction in  nasal cannula pressure greater than 50% from baseline levels</t>
  </si>
  <si>
    <t>definition_lightsout</t>
  </si>
  <si>
    <t>How the lights-out time was determined in the study</t>
  </si>
  <si>
    <t>light sensor, lab set, paperwork</t>
  </si>
  <si>
    <t>Instructions: If you plan on sharing polysomnography signal files on NSRR, please also provide signal channel annotations, montage and sampling rate information. Down below is an exmple of recommended format for the information. Please contact the NSRR team if you have any quesitons.</t>
  </si>
  <si>
    <t>EDF Labels 
(the labels exactly as saved in the EDFs)</t>
  </si>
  <si>
    <t>Label Descritpion
(short description of signal channels)</t>
  </si>
  <si>
    <t>Signal</t>
  </si>
  <si>
    <t>Reference</t>
  </si>
  <si>
    <t>Sensor</t>
  </si>
  <si>
    <t>Hardware filters (Hz)</t>
  </si>
  <si>
    <t>Sampling Frequency in Hz
(Optional)</t>
  </si>
  <si>
    <t>E1</t>
  </si>
  <si>
    <t>Left EOG</t>
  </si>
  <si>
    <t>EOG-L</t>
  </si>
  <si>
    <t>Fpz</t>
  </si>
  <si>
    <t>Gold cup electrode</t>
  </si>
  <si>
    <t>Low Pass 100</t>
  </si>
  <si>
    <t>E2</t>
  </si>
  <si>
    <t>Right EOG</t>
  </si>
  <si>
    <t>EOG-R</t>
  </si>
  <si>
    <t>C3_M2</t>
  </si>
  <si>
    <t>EEG</t>
  </si>
  <si>
    <t>C3</t>
  </si>
  <si>
    <t>M2</t>
  </si>
  <si>
    <t>EEG2</t>
  </si>
  <si>
    <t>EEG (EEG Fz_Cz)</t>
  </si>
  <si>
    <t>Fz</t>
  </si>
  <si>
    <t>Cz</t>
  </si>
  <si>
    <t>EEG3</t>
  </si>
  <si>
    <t>Oz</t>
  </si>
  <si>
    <t>Abdo</t>
  </si>
  <si>
    <t>Abdomen signal from respiratory band</t>
  </si>
  <si>
    <t>Abdomen</t>
  </si>
  <si>
    <t>−</t>
  </si>
  <si>
    <t>Compumedics Inductive Respiratory Band</t>
  </si>
  <si>
    <t>Low Pass 10</t>
  </si>
  <si>
    <t>Thor</t>
  </si>
  <si>
    <t>Thorax signal from respiratory band</t>
  </si>
  <si>
    <t>Thorax</t>
  </si>
  <si>
    <t>Therm</t>
  </si>
  <si>
    <t>Flow measured by Thermistor</t>
  </si>
  <si>
    <t>Flow</t>
  </si>
  <si>
    <t>Salter ThermiSense 5700B</t>
  </si>
  <si>
    <t>Nasal_Pressure</t>
  </si>
  <si>
    <t>Mask nasal Pressure</t>
  </si>
  <si>
    <t>Pressure</t>
  </si>
  <si>
    <t>Nasal Cannula</t>
  </si>
  <si>
    <t>SpO2</t>
  </si>
  <si>
    <t>Oxygen Desaturation emasured by pulse oximeter</t>
  </si>
  <si>
    <t>Nonin 8000 sensor</t>
  </si>
  <si>
    <t>X1</t>
  </si>
  <si>
    <t>ignore this channel (it was used internally)</t>
  </si>
  <si>
    <t>air_flow</t>
  </si>
  <si>
    <t>flow measured by pneumotachography</t>
  </si>
  <si>
    <t>Compumedics Pneumotachograph</t>
  </si>
  <si>
    <t>airflow</t>
  </si>
  <si>
    <t>AIRFLOW</t>
  </si>
  <si>
    <t>animals_species</t>
  </si>
  <si>
    <t>Please list the species of the animals used for this research</t>
  </si>
  <si>
    <t>species group: specific species</t>
  </si>
  <si>
    <t>non-human primate : Cynomolgus macaques</t>
  </si>
  <si>
    <t>experimental_animals</t>
  </si>
  <si>
    <r>
      <t xml:space="preserve">Please provide information of the animals used, including details </t>
    </r>
    <r>
      <rPr>
        <b/>
        <sz val="11"/>
        <color rgb="FF000000"/>
        <rFont val="Calibri"/>
        <family val="2"/>
      </rPr>
      <t>such as</t>
    </r>
    <r>
      <rPr>
        <sz val="11"/>
        <color rgb="FF000000"/>
        <rFont val="Calibri"/>
        <family val="2"/>
        <charset val="1"/>
      </rPr>
      <t xml:space="preserve">: 
a. strain, sex, developmental stage, and weight (range). 
B. further relevant information such as the source f the animals, international strain nomenclatures, genetic modification status (e.g., knock-out of transgenic, genotype, health/immune status, drug- or test- naïve, previous procedures, etc. </t>
    </r>
  </si>
  <si>
    <t>experimental_procedures</t>
  </si>
  <si>
    <r>
      <t xml:space="preserve">For each experiment and experimental group, including controls, please provide information about the procedure, including details (if applicable) </t>
    </r>
    <r>
      <rPr>
        <b/>
        <sz val="11"/>
        <color rgb="FF000000"/>
        <rFont val="Calibri"/>
        <family val="2"/>
      </rPr>
      <t>such as</t>
    </r>
    <r>
      <rPr>
        <sz val="11"/>
        <color rgb="FF000000"/>
        <rFont val="Calibri"/>
        <family val="2"/>
        <charset val="1"/>
      </rPr>
      <t>: 
a. How (e.g., drug formulation and dose, surgical procedures, etc.). Please provide details of any specialist equipment used. 
b. when (e.g., time of day)
c. where (e.g.,  home cage, laboratory, water maze). 
d. Why (e.g., rationale for choice of specific anesthetic, route of administration, drug dose used)</t>
    </r>
  </si>
  <si>
    <t>code</t>
  </si>
  <si>
    <t>standard</t>
  </si>
  <si>
    <t>population</t>
  </si>
  <si>
    <t>version</t>
  </si>
  <si>
    <t>hypopnea definition</t>
  </si>
  <si>
    <t>event duration</t>
  </si>
  <si>
    <t>reduction duration criteria</t>
  </si>
  <si>
    <t>reference</t>
  </si>
  <si>
    <t>equivalent scientific code for hypopnea</t>
  </si>
  <si>
    <t>chicago1999</t>
  </si>
  <si>
    <t>chicago 1999</t>
  </si>
  <si>
    <t>adult</t>
  </si>
  <si>
    <t>For both apneas and hypopneas: &gt;50% nasal cannula reduction or discernible nasal cannula reduction with (&gt;=3% desat or arousal)</t>
  </si>
  <si>
    <t>&gt;=10 sec</t>
  </si>
  <si>
    <t>n/a</t>
  </si>
  <si>
    <t>[Sleep 1999 (PubMed ID:10450601)]( https://www.ncbi.nlm.nih.gov/pubmed/10450601)</t>
  </si>
  <si>
    <t>hp5x0u, hp0x3r</t>
  </si>
  <si>
    <t>AASM 2007</t>
  </si>
  <si>
    <t>recommended</t>
  </si>
  <si>
    <t>&gt;=30% nasal cannula [or alternative sensor] reduction with &gt;=4% desat</t>
  </si>
  <si>
    <t>&gt;=90% of the event duration</t>
  </si>
  <si>
    <t>[Iber C et al. The AASM manual for the scoring of sleep and associated events: rules, terminology and technical specifications. Vol. 1. Westchester, IL: American Academy of Sleep Medicine, 2007]</t>
  </si>
  <si>
    <t>hp3x4u</t>
  </si>
  <si>
    <t>aasm07_alternative</t>
  </si>
  <si>
    <t>alternative</t>
  </si>
  <si>
    <t>&gt;=50% nasal cannula [or alternative sensor] reduction with  (&gt;=3% desat or arousal)</t>
  </si>
  <si>
    <t>hp5x3r</t>
  </si>
  <si>
    <t>aasm07_pediatric</t>
  </si>
  <si>
    <t>child</t>
  </si>
  <si>
    <t>&gt;=2 missed breath</t>
  </si>
  <si>
    <t>aasm12_recommended</t>
  </si>
  <si>
    <t>AASM 2007 (2012 updates)</t>
  </si>
  <si>
    <t>&gt;=30% nasal cannula [or alternative sensor] reduction with  (&gt;=3% desat or arousal)</t>
  </si>
  <si>
    <t>&gt;= 10 sec</t>
  </si>
  <si>
    <t>[Berry RB et al. 2012 (PubMed ID:23066376)] (https://www.ncbi.nlm.nih.gov/pubmed/23066376)</t>
  </si>
  <si>
    <t>hp3x3r</t>
  </si>
  <si>
    <t>aasm12_alternative</t>
  </si>
  <si>
    <t>&gt;=30% nasal cannula [or alternative sensor] reduction  with   &gt;=4% desat</t>
  </si>
  <si>
    <t>aasm15_recommended</t>
  </si>
  <si>
    <t>AASM 2015</t>
  </si>
  <si>
    <t>&gt;=30% nasal cannula [or altrenative sensor] reduction with (&gt;=3% desat or arousal)</t>
  </si>
  <si>
    <t>[Berry RB et al. The AASM Manual for the Scoring of Sleep and Associated Events: Rules, Terminology and Technical Specifications, Version 2.2. American Academy of Sleep Medicine, Darien, IL, 2015.]</t>
  </si>
  <si>
    <t>aasm15_acceptable</t>
  </si>
  <si>
    <t>acceptable</t>
  </si>
  <si>
    <t>&gt;=30% nasal cannula [or alternative sensor] reduction with (&gt;=4% desat)</t>
  </si>
  <si>
    <t>aasm15_pediatric</t>
  </si>
  <si>
    <t>&gt;=30% nasal cannula [or alternative sensor] reduction with (&gt;=3% desat or arousal)</t>
  </si>
  <si>
    <t>&gt;= 2 missed breath</t>
  </si>
  <si>
    <t>By hand</t>
  </si>
  <si>
    <t>Combined (by hand and by machine)</t>
  </si>
  <si>
    <t>Unannotated</t>
  </si>
  <si>
    <t>Annotated</t>
  </si>
  <si>
    <t>permission from data owners required</t>
  </si>
  <si>
    <t>no restrictions</t>
  </si>
  <si>
    <t>prospective cohort</t>
  </si>
  <si>
    <t>cross sectional</t>
  </si>
  <si>
    <t>case-control</t>
  </si>
  <si>
    <t>parallel group RCT</t>
  </si>
  <si>
    <t>cross-over RCT</t>
  </si>
  <si>
    <t>other (please specify)</t>
  </si>
  <si>
    <t>female only</t>
  </si>
  <si>
    <t>male only</t>
  </si>
  <si>
    <t>double</t>
  </si>
  <si>
    <t>not applicable</t>
  </si>
  <si>
    <t>Whether or not the EEG was collected (if any signal files contain EEG signal)</t>
  </si>
  <si>
    <t>collection_ecg</t>
  </si>
  <si>
    <t>collection_eog</t>
  </si>
  <si>
    <t>Whether or not the EOG was collected (if any signal files contain EOG signal)</t>
  </si>
  <si>
    <t>collection_chin_emg</t>
  </si>
  <si>
    <t>Whether or not the chin EMG was collected (if any signal files contain chin EMG signal)</t>
  </si>
  <si>
    <t>collection_leg_emg</t>
  </si>
  <si>
    <t>Whether or not the leg EMG was collected (if any signal files contain leg EMG signal)</t>
  </si>
  <si>
    <t>collection_nasal_pressure</t>
  </si>
  <si>
    <t>Whether or not the nasal pressure signal was collected (if any signal files contain nasal pressure signal)</t>
  </si>
  <si>
    <t>collection_oximetry</t>
  </si>
  <si>
    <t>Whether or not the pulse oximetry signal was collected (if any signal files contain pulse oximetry signal)</t>
  </si>
  <si>
    <t>collection_body_position</t>
  </si>
  <si>
    <t>Whether or not the changes in body position was detected (if any signal files contain body position changes signal)</t>
  </si>
  <si>
    <t>collection_ppg</t>
  </si>
  <si>
    <t>Whether or not the photoplethysmography (PPG) was collected  (if any signal files contain PPG signal)</t>
  </si>
  <si>
    <t>collection_res_band</t>
  </si>
  <si>
    <t>Whether or not the breathing effort was monitored by respiratory bands (if any signal files contain respiratory bands signal)</t>
  </si>
  <si>
    <t>collection_thermistry</t>
  </si>
  <si>
    <t>Whether or not the thermistry was collected (if any signal files contain thermistry signal)</t>
  </si>
  <si>
    <t>Whether or not the ECG was collected (if any signal files contain ECG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</si>
</sst>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1"/>
      <color rgb="FF000000"/>
      <name val="Calibri"/>
      <family val="2"/>
      <charset val="1"/>
    </font>
    <font>
      <sz val="11"/>
      <name val="Calibri"/>
      <family val="2"/>
      <charset val="1"/>
    </font>
    <font>
      <sz val="11"/>
      <name val="Source Sans Pro"/>
      <family val="2"/>
      <charset val="1"/>
    </font>
    <font>
      <sz val="11"/>
      <color rgb="FF000000"/>
      <name val="Source Sans Pro"/>
      <family val="2"/>
      <charset val="1"/>
    </font>
    <font>
      <b/>
      <u/>
      <sz val="11"/>
      <color rgb="FF000000"/>
      <name val="Calibri"/>
      <family val="2"/>
      <charset val="1"/>
    </font>
    <font>
      <sz val="11"/>
      <color rgb="FF172B4D"/>
      <name val="Segoe UI"/>
      <family val="2"/>
    </font>
    <font>
      <sz val="11"/>
      <color rgb="FFFF0000"/>
      <name val="Calibri"/>
      <family val="2"/>
      <charset val="1"/>
    </font>
    <font>
      <b/>
      <sz val="11"/>
      <color rgb="FF000000"/>
      <name val="Calibri"/>
      <family val="2"/>
    </font>
    <font>
      <sz val="11"/>
      <color rgb="FF000000"/>
      <name val="Calibri"/>
      <family val="2"/>
    </font>
    <font>
      <b/>
      <sz val="12"/>
      <color theme="1"/>
      <name val="Calibri"/>
      <scheme val="minor"/>
    </font>
  </fonts>
  <fills count="4">
    <fill>
      <patternFill patternType="none"/>
    </fill>
    <fill>
      <patternFill patternType="gray125"/>
    </fill>
    <fill>
      <patternFill patternType="solid">
        <fgColor theme="7" tint="0.79998168889431442"/>
        <bgColor indexed="64"/>
      </patternFill>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style="thick">
        <color auto="1"/>
      </top>
      <bottom style="double">
        <color auto="1"/>
      </bottom>
      <diagonal/>
    </border>
    <border>
      <left/>
      <right/>
      <top style="double">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54">
    <xf numFmtId="0" fontId="0" fillId="0" borderId="0" xfId="0"/>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2" xfId="0" applyBorder="1" applyAlignment="1">
      <alignment wrapText="1"/>
    </xf>
    <xf numFmtId="0" fontId="4" fillId="0" borderId="1" xfId="0" applyFont="1" applyBorder="1"/>
    <xf numFmtId="0" fontId="0" fillId="0" borderId="0" xfId="0" applyAlignment="1">
      <alignment wrapText="1"/>
    </xf>
    <xf numFmtId="0" fontId="0" fillId="0" borderId="3" xfId="0" applyBorder="1"/>
    <xf numFmtId="0" fontId="1" fillId="0" borderId="4" xfId="0" applyFont="1" applyBorder="1" applyAlignment="1">
      <alignment horizontal="center" wrapText="1"/>
    </xf>
    <xf numFmtId="0" fontId="1" fillId="0" borderId="0" xfId="0" applyFont="1" applyAlignment="1">
      <alignment horizontal="center" wrapText="1"/>
    </xf>
    <xf numFmtId="0" fontId="0" fillId="0" borderId="5" xfId="0" applyBorder="1"/>
    <xf numFmtId="0" fontId="0" fillId="0" borderId="5" xfId="0" applyBorder="1" applyAlignment="1">
      <alignment wrapText="1"/>
    </xf>
    <xf numFmtId="0" fontId="2" fillId="0" borderId="3" xfId="0" applyFont="1" applyBorder="1" applyAlignment="1">
      <alignment wrapText="1"/>
    </xf>
    <xf numFmtId="0" fontId="0" fillId="0" borderId="3" xfId="0" applyBorder="1" applyAlignment="1">
      <alignment wrapText="1"/>
    </xf>
    <xf numFmtId="0" fontId="2" fillId="0" borderId="0" xfId="0" applyFont="1" applyAlignment="1">
      <alignment wrapText="1"/>
    </xf>
    <xf numFmtId="0" fontId="2" fillId="0" borderId="6" xfId="0" applyFont="1" applyBorder="1" applyAlignment="1">
      <alignment wrapText="1"/>
    </xf>
    <xf numFmtId="0" fontId="0" fillId="0" borderId="6" xfId="0" applyBorder="1"/>
    <xf numFmtId="0" fontId="0" fillId="0" borderId="6" xfId="0" applyBorder="1" applyAlignment="1">
      <alignment wrapText="1"/>
    </xf>
    <xf numFmtId="0" fontId="1" fillId="0" borderId="1" xfId="0" applyFont="1" applyBorder="1" applyAlignment="1">
      <alignment horizontal="left" vertical="center" wrapText="1"/>
    </xf>
    <xf numFmtId="0" fontId="0" fillId="0" borderId="0" xfId="0" applyAlignment="1">
      <alignment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wrapText="1"/>
    </xf>
    <xf numFmtId="0" fontId="6" fillId="0" borderId="0" xfId="0" applyFont="1" applyAlignment="1">
      <alignment horizontal="left" vertical="center" wrapText="1"/>
    </xf>
    <xf numFmtId="0" fontId="0" fillId="2" borderId="1" xfId="0" applyFill="1" applyBorder="1"/>
    <xf numFmtId="0" fontId="8" fillId="2" borderId="1" xfId="0" applyFont="1" applyFill="1" applyBorder="1"/>
    <xf numFmtId="0" fontId="7" fillId="2" borderId="1" xfId="0" applyFont="1" applyFill="1" applyBorder="1"/>
    <xf numFmtId="0" fontId="7" fillId="2" borderId="1" xfId="0" applyFont="1" applyFill="1" applyBorder="1" applyAlignment="1">
      <alignment wrapText="1"/>
    </xf>
    <xf numFmtId="0" fontId="1"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wrapText="1"/>
    </xf>
    <xf numFmtId="0" fontId="1" fillId="2" borderId="1" xfId="0" applyFont="1" applyFill="1" applyBorder="1" applyAlignment="1">
      <alignment wrapText="1"/>
    </xf>
    <xf numFmtId="0" fontId="3" fillId="0" borderId="1" xfId="0" applyFont="1" applyBorder="1" applyAlignment="1">
      <alignment wrapText="1"/>
    </xf>
    <xf numFmtId="0" fontId="0" fillId="2" borderId="1" xfId="0" applyFill="1" applyBorder="1" applyAlignment="1">
      <alignment horizontal="left" wrapText="1"/>
    </xf>
    <xf numFmtId="0" fontId="9" fillId="0" borderId="1" xfId="0" applyFont="1" applyBorder="1"/>
    <xf numFmtId="0" fontId="9" fillId="0" borderId="1" xfId="0" applyFont="1" applyBorder="1"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49" fontId="0" fillId="0" borderId="1" xfId="0" applyNumberFormat="1" applyBorder="1" applyAlignment="1">
      <alignment horizontal="center" vertical="center"/>
    </xf>
    <xf numFmtId="0" fontId="0" fillId="0" borderId="7" xfId="0" applyBorder="1"/>
    <xf numFmtId="0" fontId="0" fillId="0" borderId="8" xfId="0" applyBorder="1" applyAlignment="1">
      <alignment horizontal="left" wrapText="1"/>
    </xf>
    <xf numFmtId="0" fontId="8" fillId="0" borderId="6" xfId="0" applyFont="1" applyBorder="1" applyAlignment="1">
      <alignment horizontal="left" vertical="center" wrapText="1"/>
    </xf>
    <xf numFmtId="0" fontId="8" fillId="3" borderId="7" xfId="0" applyFont="1" applyFill="1" applyBorder="1" applyAlignment="1">
      <alignment horizontal="left"/>
    </xf>
    <xf numFmtId="0" fontId="8" fillId="3" borderId="9" xfId="0" applyFont="1" applyFill="1" applyBorder="1" applyAlignment="1">
      <alignment horizontal="left"/>
    </xf>
    <xf numFmtId="0" fontId="8" fillId="3" borderId="8" xfId="0" applyFont="1" applyFill="1" applyBorder="1" applyAlignment="1">
      <alignment horizontal="left"/>
    </xf>
    <xf numFmtId="0" fontId="1" fillId="3" borderId="7" xfId="0" applyFont="1" applyFill="1" applyBorder="1" applyAlignment="1">
      <alignment horizontal="left"/>
    </xf>
    <xf numFmtId="0" fontId="1" fillId="3" borderId="9" xfId="0" applyFont="1" applyFill="1" applyBorder="1" applyAlignment="1">
      <alignment horizontal="left"/>
    </xf>
    <xf numFmtId="0" fontId="1" fillId="3" borderId="8" xfId="0" applyFont="1" applyFill="1" applyBorder="1" applyAlignment="1">
      <alignment horizontal="left"/>
    </xf>
    <xf numFmtId="0" fontId="0" fillId="0" borderId="6"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topLeftCell="A48" zoomScaleNormal="100" workbookViewId="0">
      <selection activeCell="C6" sqref="C6"/>
    </sheetView>
  </sheetViews>
  <sheetFormatPr defaultRowHeight="15" x14ac:dyDescent="0.25"/>
  <cols>
    <col min="1" max="1" width="28.5703125" customWidth="1"/>
    <col min="2" max="2" width="46"/>
    <col min="3" max="3" width="34.5703125"/>
    <col min="4" max="4" width="41"/>
    <col min="5" max="5" width="42.85546875"/>
    <col min="6" max="1024" width="8.140625"/>
  </cols>
  <sheetData>
    <row r="1" spans="1:5" ht="38.25" customHeight="1" x14ac:dyDescent="0.25">
      <c r="A1" s="46" t="s">
        <v>0</v>
      </c>
      <c r="B1" s="46"/>
      <c r="C1" s="46"/>
      <c r="D1" s="46"/>
      <c r="E1" s="46"/>
    </row>
    <row r="2" spans="1:5" x14ac:dyDescent="0.25">
      <c r="A2" s="37" t="s">
        <v>1</v>
      </c>
      <c r="B2" s="38" t="s">
        <v>2</v>
      </c>
      <c r="C2" s="38" t="s">
        <v>3</v>
      </c>
      <c r="D2" s="38" t="s">
        <v>4</v>
      </c>
      <c r="E2" s="28" t="s">
        <v>5</v>
      </c>
    </row>
    <row r="3" spans="1:5" x14ac:dyDescent="0.25">
      <c r="A3" s="50" t="s">
        <v>6</v>
      </c>
      <c r="B3" s="51"/>
      <c r="C3" s="51"/>
      <c r="D3" s="52"/>
      <c r="E3" s="28"/>
    </row>
    <row r="4" spans="1:5" x14ac:dyDescent="0.25">
      <c r="A4" s="3" t="s">
        <v>7</v>
      </c>
      <c r="B4" s="4" t="s">
        <v>8</v>
      </c>
      <c r="C4" s="4" t="s">
        <v>9</v>
      </c>
      <c r="D4" s="5" t="s">
        <v>10</v>
      </c>
      <c r="E4" s="29"/>
    </row>
    <row r="5" spans="1:5" ht="90" x14ac:dyDescent="0.25">
      <c r="A5" s="3" t="s">
        <v>11</v>
      </c>
      <c r="B5" s="4" t="s">
        <v>12</v>
      </c>
      <c r="C5" s="4" t="s">
        <v>9</v>
      </c>
      <c r="D5" s="5" t="s">
        <v>13</v>
      </c>
      <c r="E5" s="29"/>
    </row>
    <row r="6" spans="1:5" x14ac:dyDescent="0.25">
      <c r="A6" s="3" t="s">
        <v>14</v>
      </c>
      <c r="B6" s="4" t="s">
        <v>15</v>
      </c>
      <c r="C6" s="4" t="s">
        <v>16</v>
      </c>
      <c r="D6" s="4" t="s">
        <v>17</v>
      </c>
      <c r="E6" s="29"/>
    </row>
    <row r="7" spans="1:5" ht="30" x14ac:dyDescent="0.25">
      <c r="A7" s="3" t="s">
        <v>18</v>
      </c>
      <c r="B7" s="4" t="s">
        <v>19</v>
      </c>
      <c r="C7" s="4" t="s">
        <v>16</v>
      </c>
      <c r="D7" s="4" t="s">
        <v>20</v>
      </c>
      <c r="E7" s="29"/>
    </row>
    <row r="8" spans="1:5" ht="30" x14ac:dyDescent="0.25">
      <c r="A8" s="3" t="s">
        <v>21</v>
      </c>
      <c r="B8" s="4" t="s">
        <v>22</v>
      </c>
      <c r="C8" s="4" t="s">
        <v>23</v>
      </c>
      <c r="D8" s="4" t="b">
        <f>TRUE()</f>
        <v>1</v>
      </c>
      <c r="E8" s="29"/>
    </row>
    <row r="9" spans="1:5" ht="30" x14ac:dyDescent="0.25">
      <c r="A9" s="3" t="s">
        <v>24</v>
      </c>
      <c r="B9" s="4" t="s">
        <v>25</v>
      </c>
      <c r="C9" s="4" t="s">
        <v>23</v>
      </c>
      <c r="D9" s="4" t="b">
        <f>TRUE()</f>
        <v>1</v>
      </c>
      <c r="E9" s="27"/>
    </row>
    <row r="10" spans="1:5" x14ac:dyDescent="0.25">
      <c r="A10" s="3" t="s">
        <v>26</v>
      </c>
      <c r="B10" s="4" t="s">
        <v>27</v>
      </c>
      <c r="C10" s="4" t="s">
        <v>9</v>
      </c>
      <c r="D10" s="5" t="s">
        <v>28</v>
      </c>
      <c r="E10" s="29"/>
    </row>
    <row r="11" spans="1:5" x14ac:dyDescent="0.25">
      <c r="A11" s="3" t="s">
        <v>29</v>
      </c>
      <c r="B11" s="8" t="s">
        <v>30</v>
      </c>
      <c r="C11" s="4" t="s">
        <v>9</v>
      </c>
      <c r="D11" s="5" t="s">
        <v>31</v>
      </c>
      <c r="E11" s="29"/>
    </row>
    <row r="12" spans="1:5" x14ac:dyDescent="0.25">
      <c r="A12" s="3" t="s">
        <v>32</v>
      </c>
      <c r="B12" s="4" t="s">
        <v>33</v>
      </c>
      <c r="C12" s="4" t="s">
        <v>9</v>
      </c>
      <c r="D12" s="5" t="s">
        <v>34</v>
      </c>
      <c r="E12" s="29"/>
    </row>
    <row r="13" spans="1:5" x14ac:dyDescent="0.25">
      <c r="A13" s="3" t="s">
        <v>35</v>
      </c>
      <c r="B13" s="4" t="s">
        <v>36</v>
      </c>
      <c r="C13" s="4" t="s">
        <v>9</v>
      </c>
      <c r="D13" s="5" t="s">
        <v>37</v>
      </c>
      <c r="E13" s="29"/>
    </row>
    <row r="14" spans="1:5" x14ac:dyDescent="0.25">
      <c r="A14" s="3" t="s">
        <v>38</v>
      </c>
      <c r="B14" s="4" t="s">
        <v>39</v>
      </c>
      <c r="C14" s="4" t="s">
        <v>40</v>
      </c>
      <c r="D14" s="5" t="s">
        <v>41</v>
      </c>
      <c r="E14" s="27"/>
    </row>
    <row r="15" spans="1:5" x14ac:dyDescent="0.25">
      <c r="A15" s="3" t="s">
        <v>42</v>
      </c>
      <c r="B15" s="4" t="s">
        <v>43</v>
      </c>
      <c r="C15" s="4" t="s">
        <v>9</v>
      </c>
      <c r="D15" s="5" t="s">
        <v>44</v>
      </c>
      <c r="E15" s="27"/>
    </row>
    <row r="16" spans="1:5" ht="60" x14ac:dyDescent="0.25">
      <c r="A16" s="44" t="s">
        <v>45</v>
      </c>
      <c r="B16" s="38" t="s">
        <v>46</v>
      </c>
      <c r="C16" s="4" t="s">
        <v>9</v>
      </c>
      <c r="D16" s="45" t="s">
        <v>47</v>
      </c>
      <c r="E16" s="27"/>
    </row>
    <row r="17" spans="1:5" x14ac:dyDescent="0.25">
      <c r="A17" s="47" t="s">
        <v>48</v>
      </c>
      <c r="B17" s="48"/>
      <c r="C17" s="48"/>
      <c r="D17" s="49"/>
      <c r="E17" s="27"/>
    </row>
    <row r="18" spans="1:5" ht="120" x14ac:dyDescent="0.25">
      <c r="A18" s="3" t="s">
        <v>49</v>
      </c>
      <c r="B18" s="4" t="s">
        <v>50</v>
      </c>
      <c r="C18" s="4" t="s">
        <v>51</v>
      </c>
      <c r="D18" s="4" t="s">
        <v>52</v>
      </c>
      <c r="E18" s="30"/>
    </row>
    <row r="19" spans="1:5" ht="45" x14ac:dyDescent="0.25">
      <c r="A19" s="3" t="s">
        <v>53</v>
      </c>
      <c r="B19" s="8" t="s">
        <v>54</v>
      </c>
      <c r="C19" s="4" t="s">
        <v>51</v>
      </c>
      <c r="D19" s="5" t="s">
        <v>55</v>
      </c>
      <c r="E19" s="30"/>
    </row>
    <row r="20" spans="1:5" x14ac:dyDescent="0.25">
      <c r="A20" s="3" t="s">
        <v>56</v>
      </c>
      <c r="B20" s="4" t="s">
        <v>57</v>
      </c>
      <c r="C20" s="6" t="s">
        <v>40</v>
      </c>
      <c r="D20" s="4" t="s">
        <v>58</v>
      </c>
      <c r="E20" s="27"/>
    </row>
    <row r="21" spans="1:5" ht="30" x14ac:dyDescent="0.25">
      <c r="A21" s="3" t="s">
        <v>59</v>
      </c>
      <c r="B21" s="4" t="s">
        <v>60</v>
      </c>
      <c r="C21" s="4" t="s">
        <v>23</v>
      </c>
      <c r="D21" s="4" t="b">
        <f>TRUE()</f>
        <v>1</v>
      </c>
      <c r="E21" s="27"/>
    </row>
    <row r="22" spans="1:5" ht="30" x14ac:dyDescent="0.25">
      <c r="A22" s="3" t="s">
        <v>61</v>
      </c>
      <c r="B22" s="4" t="s">
        <v>62</v>
      </c>
      <c r="C22" s="4" t="s">
        <v>63</v>
      </c>
      <c r="D22" s="4">
        <v>3</v>
      </c>
      <c r="E22" s="29"/>
    </row>
    <row r="23" spans="1:5" x14ac:dyDescent="0.25">
      <c r="A23" s="47" t="s">
        <v>64</v>
      </c>
      <c r="B23" s="48"/>
      <c r="C23" s="48"/>
      <c r="D23" s="49"/>
      <c r="E23" s="27"/>
    </row>
    <row r="24" spans="1:5" ht="60" x14ac:dyDescent="0.25">
      <c r="A24" s="3" t="s">
        <v>65</v>
      </c>
      <c r="B24" s="35" t="s">
        <v>66</v>
      </c>
      <c r="C24" s="4" t="s">
        <v>51</v>
      </c>
      <c r="D24" s="4" t="s">
        <v>67</v>
      </c>
      <c r="E24" s="27"/>
    </row>
    <row r="25" spans="1:5" ht="90" x14ac:dyDescent="0.25">
      <c r="A25" s="3" t="s">
        <v>68</v>
      </c>
      <c r="B25" s="4" t="s">
        <v>69</v>
      </c>
      <c r="C25" s="4" t="s">
        <v>51</v>
      </c>
      <c r="D25" s="4" t="s">
        <v>70</v>
      </c>
      <c r="E25" s="27"/>
    </row>
    <row r="26" spans="1:5" ht="45" x14ac:dyDescent="0.25">
      <c r="A26" s="3" t="s">
        <v>71</v>
      </c>
      <c r="B26" s="4" t="s">
        <v>72</v>
      </c>
      <c r="C26" s="4" t="s">
        <v>51</v>
      </c>
      <c r="D26" s="4" t="s">
        <v>73</v>
      </c>
      <c r="E26" s="27"/>
    </row>
    <row r="27" spans="1:5" ht="60" x14ac:dyDescent="0.25">
      <c r="A27" s="3" t="s">
        <v>74</v>
      </c>
      <c r="B27" s="4" t="s">
        <v>75</v>
      </c>
      <c r="C27" s="4" t="s">
        <v>51</v>
      </c>
      <c r="D27" s="4" t="s">
        <v>44</v>
      </c>
      <c r="E27" s="27"/>
    </row>
    <row r="28" spans="1:5" x14ac:dyDescent="0.25">
      <c r="A28" s="3" t="s">
        <v>76</v>
      </c>
      <c r="B28" s="4" t="s">
        <v>77</v>
      </c>
      <c r="C28" s="4" t="s">
        <v>78</v>
      </c>
      <c r="D28" s="7" t="s">
        <v>79</v>
      </c>
      <c r="E28" s="29"/>
    </row>
    <row r="29" spans="1:5" x14ac:dyDescent="0.25">
      <c r="A29" s="3" t="s">
        <v>80</v>
      </c>
      <c r="B29" s="4" t="s">
        <v>81</v>
      </c>
      <c r="C29" s="6" t="s">
        <v>40</v>
      </c>
      <c r="D29" s="4" t="s">
        <v>82</v>
      </c>
      <c r="E29" s="29"/>
    </row>
    <row r="30" spans="1:5" ht="30" x14ac:dyDescent="0.25">
      <c r="A30" s="3" t="s">
        <v>83</v>
      </c>
      <c r="B30" s="4" t="s">
        <v>84</v>
      </c>
      <c r="C30" s="4" t="s">
        <v>51</v>
      </c>
      <c r="D30" s="5" t="s">
        <v>85</v>
      </c>
      <c r="E30" s="30"/>
    </row>
    <row r="31" spans="1:5" ht="75" x14ac:dyDescent="0.25">
      <c r="A31" s="3" t="s">
        <v>86</v>
      </c>
      <c r="B31" s="4" t="s">
        <v>87</v>
      </c>
      <c r="C31" s="4" t="s">
        <v>51</v>
      </c>
      <c r="D31" s="5" t="s">
        <v>88</v>
      </c>
      <c r="E31" s="29"/>
    </row>
    <row r="32" spans="1:5" x14ac:dyDescent="0.25">
      <c r="A32" s="3" t="s">
        <v>89</v>
      </c>
      <c r="B32" s="4" t="s">
        <v>90</v>
      </c>
      <c r="C32" s="4" t="s">
        <v>63</v>
      </c>
      <c r="D32" s="4">
        <v>49</v>
      </c>
      <c r="E32" s="27"/>
    </row>
    <row r="33" spans="1:5" x14ac:dyDescent="0.25">
      <c r="A33" s="3" t="s">
        <v>91</v>
      </c>
      <c r="B33" s="3" t="s">
        <v>92</v>
      </c>
      <c r="C33" s="3" t="s">
        <v>51</v>
      </c>
      <c r="D33" s="3" t="s">
        <v>93</v>
      </c>
      <c r="E33" s="29"/>
    </row>
    <row r="34" spans="1:5" x14ac:dyDescent="0.25">
      <c r="A34" s="47" t="s">
        <v>94</v>
      </c>
      <c r="B34" s="48"/>
      <c r="C34" s="48"/>
      <c r="D34" s="49"/>
      <c r="E34" s="27"/>
    </row>
    <row r="35" spans="1:5" x14ac:dyDescent="0.25">
      <c r="A35" s="3" t="s">
        <v>95</v>
      </c>
      <c r="B35" s="4" t="s">
        <v>96</v>
      </c>
      <c r="C35" s="4" t="s">
        <v>23</v>
      </c>
      <c r="D35" s="4" t="b">
        <f>TRUE()</f>
        <v>1</v>
      </c>
      <c r="E35" s="27"/>
    </row>
    <row r="36" spans="1:5" x14ac:dyDescent="0.25">
      <c r="A36" s="3" t="s">
        <v>97</v>
      </c>
      <c r="B36" s="4" t="s">
        <v>98</v>
      </c>
      <c r="C36" s="4" t="s">
        <v>9</v>
      </c>
      <c r="D36" s="4" t="s">
        <v>44</v>
      </c>
      <c r="E36" s="27"/>
    </row>
    <row r="37" spans="1:5" ht="45" x14ac:dyDescent="0.25">
      <c r="A37" s="3" t="s">
        <v>99</v>
      </c>
      <c r="B37" s="4" t="s">
        <v>100</v>
      </c>
      <c r="C37" s="4" t="s">
        <v>9</v>
      </c>
      <c r="D37" s="4" t="s">
        <v>101</v>
      </c>
      <c r="E37" s="27"/>
    </row>
    <row r="38" spans="1:5" ht="30" x14ac:dyDescent="0.25">
      <c r="A38" s="3" t="s">
        <v>102</v>
      </c>
      <c r="B38" s="4" t="s">
        <v>103</v>
      </c>
      <c r="C38" s="4" t="s">
        <v>9</v>
      </c>
      <c r="D38" s="4" t="s">
        <v>104</v>
      </c>
      <c r="E38" s="27"/>
    </row>
    <row r="39" spans="1:5" ht="30" x14ac:dyDescent="0.25">
      <c r="A39" s="3" t="s">
        <v>105</v>
      </c>
      <c r="B39" s="4" t="s">
        <v>106</v>
      </c>
      <c r="C39" s="6" t="s">
        <v>40</v>
      </c>
      <c r="D39" s="4" t="s">
        <v>107</v>
      </c>
      <c r="E39" s="27"/>
    </row>
    <row r="40" spans="1:5" ht="75" x14ac:dyDescent="0.25">
      <c r="A40" s="3" t="s">
        <v>108</v>
      </c>
      <c r="B40" s="4" t="s">
        <v>109</v>
      </c>
      <c r="C40" s="4" t="s">
        <v>110</v>
      </c>
      <c r="D40" s="4" t="s">
        <v>111</v>
      </c>
      <c r="E40" s="27"/>
    </row>
    <row r="41" spans="1:5" x14ac:dyDescent="0.25">
      <c r="A41" s="47" t="s">
        <v>112</v>
      </c>
      <c r="B41" s="48"/>
      <c r="C41" s="48"/>
      <c r="D41" s="49"/>
      <c r="E41" s="27"/>
    </row>
    <row r="42" spans="1:5" x14ac:dyDescent="0.25">
      <c r="A42" s="3" t="s">
        <v>113</v>
      </c>
      <c r="B42" s="4" t="s">
        <v>114</v>
      </c>
      <c r="C42" s="4" t="s">
        <v>23</v>
      </c>
      <c r="D42" s="4" t="b">
        <f>FALSE()</f>
        <v>0</v>
      </c>
      <c r="E42" s="27"/>
    </row>
    <row r="43" spans="1:5" x14ac:dyDescent="0.25">
      <c r="A43" s="3" t="s">
        <v>115</v>
      </c>
      <c r="B43" s="4" t="s">
        <v>116</v>
      </c>
      <c r="C43" s="4" t="s">
        <v>23</v>
      </c>
      <c r="D43" s="4" t="b">
        <f>FALSE()</f>
        <v>0</v>
      </c>
      <c r="E43" s="27"/>
    </row>
    <row r="44" spans="1:5" x14ac:dyDescent="0.25">
      <c r="A44" s="3" t="s">
        <v>117</v>
      </c>
      <c r="B44" s="4" t="s">
        <v>118</v>
      </c>
      <c r="C44" s="4" t="s">
        <v>9</v>
      </c>
      <c r="D44" s="4" t="s">
        <v>44</v>
      </c>
      <c r="E44" s="27"/>
    </row>
    <row r="45" spans="1:5" x14ac:dyDescent="0.25">
      <c r="A45" s="3" t="s">
        <v>119</v>
      </c>
      <c r="B45" s="4" t="s">
        <v>120</v>
      </c>
      <c r="C45" s="4" t="s">
        <v>23</v>
      </c>
      <c r="D45" s="4" t="b">
        <v>0</v>
      </c>
      <c r="E45" s="27"/>
    </row>
    <row r="46" spans="1:5" ht="90" x14ac:dyDescent="0.25">
      <c r="A46" s="3" t="s">
        <v>121</v>
      </c>
      <c r="B46" s="4" t="s">
        <v>122</v>
      </c>
      <c r="C46" s="4" t="s">
        <v>51</v>
      </c>
      <c r="D46" s="4" t="s">
        <v>123</v>
      </c>
      <c r="E46" s="27"/>
    </row>
    <row r="47" spans="1:5" x14ac:dyDescent="0.25">
      <c r="A47" s="47" t="s">
        <v>124</v>
      </c>
      <c r="B47" s="48"/>
      <c r="C47" s="48"/>
      <c r="D47" s="49"/>
      <c r="E47" s="27"/>
    </row>
    <row r="48" spans="1:5" ht="150" x14ac:dyDescent="0.25">
      <c r="A48" s="3" t="s">
        <v>125</v>
      </c>
      <c r="B48" s="4" t="s">
        <v>126</v>
      </c>
      <c r="C48" s="4" t="s">
        <v>51</v>
      </c>
      <c r="D48" s="5" t="s">
        <v>127</v>
      </c>
      <c r="E48" s="29"/>
    </row>
    <row r="49" spans="1:5" ht="165" x14ac:dyDescent="0.25">
      <c r="A49" s="3" t="s">
        <v>128</v>
      </c>
      <c r="B49" s="4" t="s">
        <v>129</v>
      </c>
      <c r="C49" s="4" t="s">
        <v>51</v>
      </c>
      <c r="D49" s="5" t="s">
        <v>130</v>
      </c>
      <c r="E49" s="29"/>
    </row>
    <row r="50" spans="1:5" ht="30" x14ac:dyDescent="0.25">
      <c r="A50" s="3" t="s">
        <v>131</v>
      </c>
      <c r="B50" s="4" t="s">
        <v>132</v>
      </c>
      <c r="C50" s="4" t="s">
        <v>133</v>
      </c>
      <c r="D50" s="5" t="s">
        <v>134</v>
      </c>
      <c r="E50" s="29"/>
    </row>
    <row r="51" spans="1:5" x14ac:dyDescent="0.25">
      <c r="A51" s="47" t="s">
        <v>135</v>
      </c>
      <c r="B51" s="48"/>
      <c r="C51" s="48"/>
      <c r="D51" s="49"/>
      <c r="E51" s="29"/>
    </row>
    <row r="52" spans="1:5" ht="45" x14ac:dyDescent="0.25">
      <c r="A52" s="3" t="s">
        <v>136</v>
      </c>
      <c r="B52" s="4" t="s">
        <v>137</v>
      </c>
      <c r="C52" s="4" t="s">
        <v>51</v>
      </c>
      <c r="D52" s="5" t="s">
        <v>138</v>
      </c>
      <c r="E52" s="29"/>
    </row>
    <row r="53" spans="1:5" ht="60" x14ac:dyDescent="0.25">
      <c r="A53" s="3" t="s">
        <v>139</v>
      </c>
      <c r="B53" s="4" t="s">
        <v>140</v>
      </c>
      <c r="C53" s="4" t="s">
        <v>141</v>
      </c>
      <c r="D53" s="5" t="s">
        <v>142</v>
      </c>
      <c r="E53" s="29"/>
    </row>
    <row r="54" spans="1:5" ht="60" x14ac:dyDescent="0.25">
      <c r="A54" s="3" t="s">
        <v>143</v>
      </c>
      <c r="B54" s="3" t="s">
        <v>144</v>
      </c>
      <c r="C54" s="3" t="s">
        <v>51</v>
      </c>
      <c r="D54" s="4" t="s">
        <v>145</v>
      </c>
      <c r="E54" s="29"/>
    </row>
  </sheetData>
  <mergeCells count="8">
    <mergeCell ref="A1:E1"/>
    <mergeCell ref="A41:D41"/>
    <mergeCell ref="A47:D47"/>
    <mergeCell ref="A51:D51"/>
    <mergeCell ref="A3:D3"/>
    <mergeCell ref="A17:D17"/>
    <mergeCell ref="A23:D23"/>
    <mergeCell ref="A34:D34"/>
  </mergeCells>
  <pageMargins left="0.7" right="0.7" top="0.75" bottom="0.75" header="0.51180555555555496" footer="0.51180555555555496"/>
  <pageSetup firstPageNumber="0"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82420EB-26A0-4FB2-8664-1B51CE02F13D}">
          <x14:formula1>
            <xm:f>access_restriction_list!$A$1:$A$5</xm:f>
          </x14:formula1>
          <xm:sqref>D14</xm:sqref>
        </x14:dataValidation>
        <x14:dataValidation type="list" allowBlank="1" showInputMessage="1" showErrorMessage="1" xr:uid="{A0DB7159-E763-4344-AB1A-3F75540DF286}">
          <x14:formula1>
            <xm:f>study_deisng_input!$A$1:$A$6</xm:f>
          </x14:formula1>
          <xm:sqref>D20 E20</xm:sqref>
        </x14:dataValidation>
        <x14:dataValidation type="list" allowBlank="1" showInputMessage="1" showErrorMessage="1" xr:uid="{9F62608E-40EA-4953-85ED-460676A3B57A}">
          <x14:formula1>
            <xm:f>access_restriction_list!$A$1:$A$3</xm:f>
          </x14:formula1>
          <xm:sqref>E14</xm:sqref>
        </x14:dataValidation>
        <x14:dataValidation type="list" allowBlank="1" showInputMessage="1" showErrorMessage="1" xr:uid="{21E5F894-F2BA-47D6-8DD2-3F7E7F58D748}">
          <x14:formula1>
            <xm:f>blinded_input!$A$1:$A$3</xm:f>
          </x14:formula1>
          <xm:sqref>D39 E39</xm:sqref>
        </x14:dataValidation>
        <x14:dataValidation type="list" allowBlank="1" showInputMessage="1" showErrorMessage="1" xr:uid="{50818AEB-4838-4064-A475-CD8773DA30D3}">
          <x14:formula1>
            <xm:f>gender_input!$A$1:$A$3</xm:f>
          </x14:formula1>
          <xm:sqref>D29 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39AE3-26C7-4E0E-B4AE-6F93C3234806}">
  <dimension ref="A1:E24"/>
  <sheetViews>
    <sheetView zoomScaleNormal="100" workbookViewId="0">
      <selection activeCell="C15" sqref="C15"/>
    </sheetView>
  </sheetViews>
  <sheetFormatPr defaultRowHeight="15" x14ac:dyDescent="0.25"/>
  <cols>
    <col min="1" max="1" width="29.5703125" style="23" customWidth="1"/>
    <col min="2" max="2" width="57.7109375" style="23" customWidth="1"/>
    <col min="3" max="3" width="21.85546875" style="23" customWidth="1"/>
    <col min="4" max="4" width="47.28515625" style="23" customWidth="1"/>
    <col min="5" max="5" width="45.5703125" style="23" customWidth="1"/>
    <col min="6" max="16384" width="9.140625" style="21"/>
  </cols>
  <sheetData>
    <row r="1" spans="1:5" x14ac:dyDescent="0.25">
      <c r="A1" s="20" t="s">
        <v>1</v>
      </c>
      <c r="B1" s="20" t="s">
        <v>2</v>
      </c>
      <c r="C1" s="20" t="s">
        <v>3</v>
      </c>
      <c r="D1" s="20" t="s">
        <v>4</v>
      </c>
      <c r="E1" s="31" t="s">
        <v>5</v>
      </c>
    </row>
    <row r="2" spans="1:5" ht="75" x14ac:dyDescent="0.25">
      <c r="A2" s="22" t="s">
        <v>146</v>
      </c>
      <c r="B2" s="23" t="s">
        <v>147</v>
      </c>
      <c r="C2" s="22" t="s">
        <v>9</v>
      </c>
      <c r="D2" s="22" t="s">
        <v>148</v>
      </c>
      <c r="E2" s="32" t="s">
        <v>148</v>
      </c>
    </row>
    <row r="3" spans="1:5" x14ac:dyDescent="0.25">
      <c r="A3" s="22" t="s">
        <v>149</v>
      </c>
      <c r="B3" s="24" t="s">
        <v>150</v>
      </c>
      <c r="C3" s="22" t="s">
        <v>9</v>
      </c>
      <c r="D3" s="22" t="s">
        <v>151</v>
      </c>
      <c r="E3" s="32" t="s">
        <v>151</v>
      </c>
    </row>
    <row r="4" spans="1:5" x14ac:dyDescent="0.25">
      <c r="A4" s="22" t="s">
        <v>152</v>
      </c>
      <c r="B4" s="24" t="s">
        <v>153</v>
      </c>
      <c r="C4" s="22" t="s">
        <v>154</v>
      </c>
      <c r="D4" s="22" t="s">
        <v>155</v>
      </c>
      <c r="E4" s="32" t="s">
        <v>155</v>
      </c>
    </row>
    <row r="5" spans="1:5" x14ac:dyDescent="0.25">
      <c r="A5" s="22" t="s">
        <v>156</v>
      </c>
      <c r="B5" s="22" t="s">
        <v>157</v>
      </c>
      <c r="C5" s="22" t="s">
        <v>9</v>
      </c>
      <c r="D5" s="22" t="s">
        <v>158</v>
      </c>
      <c r="E5" s="32" t="s">
        <v>159</v>
      </c>
    </row>
    <row r="6" spans="1:5" ht="30" x14ac:dyDescent="0.25">
      <c r="A6" s="22" t="s">
        <v>160</v>
      </c>
      <c r="B6" s="22" t="s">
        <v>161</v>
      </c>
      <c r="C6" s="22" t="s">
        <v>9</v>
      </c>
      <c r="D6" s="22" t="s">
        <v>162</v>
      </c>
      <c r="E6" s="32" t="s">
        <v>163</v>
      </c>
    </row>
    <row r="7" spans="1:5" x14ac:dyDescent="0.25">
      <c r="A7" s="22" t="s">
        <v>164</v>
      </c>
      <c r="B7" s="22" t="s">
        <v>165</v>
      </c>
      <c r="C7" s="22" t="s">
        <v>51</v>
      </c>
      <c r="D7" s="22" t="s">
        <v>166</v>
      </c>
      <c r="E7" s="32" t="s">
        <v>167</v>
      </c>
    </row>
    <row r="8" spans="1:5" ht="30" x14ac:dyDescent="0.25">
      <c r="A8" s="22" t="s">
        <v>168</v>
      </c>
      <c r="B8" s="22" t="s">
        <v>169</v>
      </c>
      <c r="C8" s="22" t="s">
        <v>51</v>
      </c>
      <c r="D8" s="22" t="s">
        <v>170</v>
      </c>
      <c r="E8" s="32" t="s">
        <v>171</v>
      </c>
    </row>
    <row r="9" spans="1:5" ht="30" x14ac:dyDescent="0.25">
      <c r="A9" s="22" t="s">
        <v>172</v>
      </c>
      <c r="B9" s="22" t="s">
        <v>173</v>
      </c>
      <c r="C9" s="22" t="s">
        <v>51</v>
      </c>
      <c r="D9" s="22" t="s">
        <v>174</v>
      </c>
      <c r="E9" s="32" t="s">
        <v>175</v>
      </c>
    </row>
    <row r="10" spans="1:5" ht="45" x14ac:dyDescent="0.25">
      <c r="A10" s="22" t="s">
        <v>176</v>
      </c>
      <c r="B10" s="22" t="s">
        <v>177</v>
      </c>
      <c r="C10" s="22" t="s">
        <v>51</v>
      </c>
      <c r="D10" s="22" t="s">
        <v>178</v>
      </c>
      <c r="E10" s="32" t="s">
        <v>179</v>
      </c>
    </row>
    <row r="11" spans="1:5" ht="30" x14ac:dyDescent="0.25">
      <c r="A11" s="22" t="s">
        <v>180</v>
      </c>
      <c r="B11" s="22" t="s">
        <v>181</v>
      </c>
      <c r="C11" s="22" t="s">
        <v>23</v>
      </c>
      <c r="D11" s="22" t="b">
        <v>1</v>
      </c>
      <c r="E11" s="32" t="b">
        <v>1</v>
      </c>
    </row>
    <row r="12" spans="1:5" x14ac:dyDescent="0.25">
      <c r="A12" s="22" t="s">
        <v>182</v>
      </c>
      <c r="B12" s="22" t="s">
        <v>183</v>
      </c>
      <c r="C12" s="22" t="s">
        <v>184</v>
      </c>
      <c r="D12" s="22" t="s">
        <v>185</v>
      </c>
      <c r="E12" s="32" t="s">
        <v>186</v>
      </c>
    </row>
    <row r="13" spans="1:5" x14ac:dyDescent="0.25">
      <c r="A13" s="22" t="s">
        <v>187</v>
      </c>
      <c r="B13" s="22" t="s">
        <v>188</v>
      </c>
      <c r="C13" s="22" t="s">
        <v>189</v>
      </c>
      <c r="D13" s="22">
        <v>10</v>
      </c>
      <c r="E13" s="32">
        <v>10</v>
      </c>
    </row>
    <row r="14" spans="1:5" ht="30" x14ac:dyDescent="0.25">
      <c r="A14" s="22" t="s">
        <v>190</v>
      </c>
      <c r="B14" s="22" t="s">
        <v>191</v>
      </c>
      <c r="C14" s="22" t="s">
        <v>192</v>
      </c>
      <c r="D14" s="22" t="s">
        <v>193</v>
      </c>
      <c r="E14" s="32" t="s">
        <v>194</v>
      </c>
    </row>
    <row r="15" spans="1:5" ht="30" x14ac:dyDescent="0.25">
      <c r="A15" s="22" t="s">
        <v>195</v>
      </c>
      <c r="B15" s="22" t="s">
        <v>196</v>
      </c>
      <c r="C15" s="22" t="s">
        <v>9</v>
      </c>
      <c r="D15" s="22" t="s">
        <v>197</v>
      </c>
      <c r="E15" s="32" t="s">
        <v>198</v>
      </c>
    </row>
    <row r="16" spans="1:5" x14ac:dyDescent="0.25">
      <c r="A16" s="22" t="s">
        <v>199</v>
      </c>
      <c r="B16" s="22" t="s">
        <v>200</v>
      </c>
      <c r="C16" s="22" t="s">
        <v>201</v>
      </c>
      <c r="D16" s="22">
        <v>30</v>
      </c>
      <c r="E16" s="32">
        <v>15</v>
      </c>
    </row>
    <row r="17" spans="1:5" ht="30" x14ac:dyDescent="0.25">
      <c r="A17" s="22" t="s">
        <v>202</v>
      </c>
      <c r="B17" s="22" t="s">
        <v>203</v>
      </c>
      <c r="C17" s="22" t="s">
        <v>9</v>
      </c>
      <c r="D17" s="22" t="s">
        <v>204</v>
      </c>
      <c r="E17" s="32" t="s">
        <v>204</v>
      </c>
    </row>
    <row r="18" spans="1:5" ht="30" x14ac:dyDescent="0.25">
      <c r="A18" s="22" t="s">
        <v>205</v>
      </c>
      <c r="B18" s="22" t="s">
        <v>206</v>
      </c>
      <c r="C18" s="22" t="s">
        <v>51</v>
      </c>
      <c r="D18" s="22" t="s">
        <v>207</v>
      </c>
      <c r="E18" s="32" t="s">
        <v>44</v>
      </c>
    </row>
    <row r="19" spans="1:5" ht="30" x14ac:dyDescent="0.25">
      <c r="A19" s="22" t="s">
        <v>208</v>
      </c>
      <c r="B19" s="22" t="s">
        <v>209</v>
      </c>
      <c r="C19" s="22" t="s">
        <v>51</v>
      </c>
      <c r="D19" s="22" t="s">
        <v>210</v>
      </c>
      <c r="E19" s="32" t="s">
        <v>211</v>
      </c>
    </row>
    <row r="20" spans="1:5" ht="60" x14ac:dyDescent="0.25">
      <c r="A20" s="22" t="s">
        <v>212</v>
      </c>
      <c r="B20" s="22" t="s">
        <v>213</v>
      </c>
      <c r="C20" s="22" t="s">
        <v>51</v>
      </c>
      <c r="D20" s="22" t="s">
        <v>214</v>
      </c>
      <c r="E20" s="32" t="s">
        <v>215</v>
      </c>
    </row>
    <row r="21" spans="1:5" ht="45" x14ac:dyDescent="0.25">
      <c r="A21" s="22" t="s">
        <v>216</v>
      </c>
      <c r="B21" s="22" t="s">
        <v>217</v>
      </c>
      <c r="C21" s="22" t="s">
        <v>51</v>
      </c>
      <c r="D21" s="22" t="s">
        <v>218</v>
      </c>
      <c r="E21" s="32" t="s">
        <v>219</v>
      </c>
    </row>
    <row r="22" spans="1:5" ht="60" x14ac:dyDescent="0.25">
      <c r="A22" s="22" t="s">
        <v>220</v>
      </c>
      <c r="B22" s="22" t="s">
        <v>221</v>
      </c>
      <c r="C22" s="22" t="s">
        <v>51</v>
      </c>
      <c r="D22" s="22"/>
      <c r="E22" s="32" t="s">
        <v>222</v>
      </c>
    </row>
    <row r="23" spans="1:5" ht="60" x14ac:dyDescent="0.25">
      <c r="A23" s="22" t="s">
        <v>223</v>
      </c>
      <c r="B23" s="22" t="s">
        <v>224</v>
      </c>
      <c r="C23" s="22" t="s">
        <v>51</v>
      </c>
      <c r="D23" s="22"/>
      <c r="E23" s="32" t="s">
        <v>222</v>
      </c>
    </row>
    <row r="24" spans="1:5" ht="75" x14ac:dyDescent="0.25">
      <c r="A24" s="22" t="s">
        <v>225</v>
      </c>
      <c r="B24" s="22" t="s">
        <v>226</v>
      </c>
      <c r="C24" s="22" t="s">
        <v>51</v>
      </c>
      <c r="D24" s="22" t="s">
        <v>227</v>
      </c>
      <c r="E24" s="32" t="s">
        <v>228</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tabSelected="1" topLeftCell="A10" zoomScaleNormal="100" workbookViewId="0">
      <selection activeCell="B10" sqref="B10"/>
    </sheetView>
  </sheetViews>
  <sheetFormatPr defaultRowHeight="15" x14ac:dyDescent="0.25"/>
  <cols>
    <col min="1" max="1" width="29" style="8" customWidth="1"/>
    <col min="2" max="2" width="78" style="8" customWidth="1"/>
    <col min="3" max="3" width="34.5703125" style="8"/>
    <col min="4" max="4" width="41" style="8"/>
    <col min="5" max="5" width="34.5703125" style="8"/>
    <col min="6" max="1025" width="8.140625"/>
  </cols>
  <sheetData>
    <row r="1" spans="1:5" x14ac:dyDescent="0.25">
      <c r="A1" s="2" t="s">
        <v>1</v>
      </c>
      <c r="B1" s="2" t="s">
        <v>2</v>
      </c>
      <c r="C1" s="2" t="s">
        <v>3</v>
      </c>
      <c r="D1" s="2" t="s">
        <v>4</v>
      </c>
      <c r="E1" s="34" t="s">
        <v>5</v>
      </c>
    </row>
    <row r="2" spans="1:5" ht="60" x14ac:dyDescent="0.25">
      <c r="A2" s="4" t="s">
        <v>146</v>
      </c>
      <c r="B2" s="8" t="s">
        <v>229</v>
      </c>
      <c r="C2" s="4" t="s">
        <v>9</v>
      </c>
      <c r="D2" s="4" t="s">
        <v>230</v>
      </c>
      <c r="E2" s="33"/>
    </row>
    <row r="3" spans="1:5" x14ac:dyDescent="0.25">
      <c r="A3" s="4" t="s">
        <v>149</v>
      </c>
      <c r="B3" s="4" t="s">
        <v>150</v>
      </c>
      <c r="C3" s="4" t="s">
        <v>9</v>
      </c>
      <c r="D3" s="4" t="s">
        <v>151</v>
      </c>
      <c r="E3" s="33"/>
    </row>
    <row r="4" spans="1:5" x14ac:dyDescent="0.25">
      <c r="A4" s="4" t="s">
        <v>152</v>
      </c>
      <c r="B4" s="4" t="s">
        <v>153</v>
      </c>
      <c r="C4" s="4" t="s">
        <v>154</v>
      </c>
      <c r="D4" s="4" t="s">
        <v>155</v>
      </c>
      <c r="E4" s="33"/>
    </row>
    <row r="5" spans="1:5" ht="30" x14ac:dyDescent="0.25">
      <c r="A5" s="4" t="s">
        <v>231</v>
      </c>
      <c r="B5" s="4" t="s">
        <v>232</v>
      </c>
      <c r="C5" s="4" t="s">
        <v>233</v>
      </c>
      <c r="D5" s="4" t="s">
        <v>234</v>
      </c>
      <c r="E5" s="33"/>
    </row>
    <row r="6" spans="1:5" s="21" customFormat="1" x14ac:dyDescent="0.25">
      <c r="A6" s="22" t="s">
        <v>235</v>
      </c>
      <c r="B6" s="22" t="s">
        <v>236</v>
      </c>
      <c r="C6" s="22" t="s">
        <v>237</v>
      </c>
      <c r="D6" s="22" t="s">
        <v>238</v>
      </c>
      <c r="E6" s="32"/>
    </row>
    <row r="7" spans="1:5" ht="195" x14ac:dyDescent="0.25">
      <c r="A7" s="4" t="s">
        <v>239</v>
      </c>
      <c r="B7" s="4" t="s">
        <v>240</v>
      </c>
      <c r="C7" s="25" t="s">
        <v>51</v>
      </c>
      <c r="D7" s="4" t="s">
        <v>241</v>
      </c>
      <c r="E7" s="33"/>
    </row>
    <row r="8" spans="1:5" ht="30" x14ac:dyDescent="0.25">
      <c r="A8" s="4" t="s">
        <v>242</v>
      </c>
      <c r="B8" s="4" t="s">
        <v>243</v>
      </c>
      <c r="C8" s="25" t="s">
        <v>9</v>
      </c>
      <c r="D8" s="4" t="s">
        <v>244</v>
      </c>
      <c r="E8" s="33"/>
    </row>
    <row r="9" spans="1:5" ht="30" x14ac:dyDescent="0.25">
      <c r="A9" s="4" t="s">
        <v>164</v>
      </c>
      <c r="B9" s="4" t="s">
        <v>245</v>
      </c>
      <c r="C9" s="25" t="s">
        <v>51</v>
      </c>
      <c r="D9" s="4" t="s">
        <v>246</v>
      </c>
      <c r="E9" s="33"/>
    </row>
    <row r="10" spans="1:5" ht="315" x14ac:dyDescent="0.25">
      <c r="A10" s="4" t="s">
        <v>247</v>
      </c>
      <c r="B10" s="4" t="s">
        <v>248</v>
      </c>
      <c r="C10" s="8" t="s">
        <v>249</v>
      </c>
      <c r="D10" s="4">
        <v>1</v>
      </c>
      <c r="E10" s="33"/>
    </row>
    <row r="11" spans="1:5" x14ac:dyDescent="0.25">
      <c r="A11" s="4" t="s">
        <v>250</v>
      </c>
      <c r="B11" s="4" t="s">
        <v>397</v>
      </c>
      <c r="C11" s="25" t="s">
        <v>23</v>
      </c>
      <c r="D11" s="4" t="b">
        <v>0</v>
      </c>
      <c r="E11" s="33"/>
    </row>
    <row r="12" spans="1:5" x14ac:dyDescent="0.25">
      <c r="A12" s="4" t="s">
        <v>398</v>
      </c>
      <c r="B12" s="4" t="s">
        <v>417</v>
      </c>
      <c r="C12" s="25" t="s">
        <v>23</v>
      </c>
      <c r="D12" s="4" t="b">
        <v>1</v>
      </c>
      <c r="E12" s="33"/>
    </row>
    <row r="13" spans="1:5" x14ac:dyDescent="0.25">
      <c r="A13" s="4" t="s">
        <v>399</v>
      </c>
      <c r="B13" s="4" t="s">
        <v>400</v>
      </c>
      <c r="C13" s="25" t="s">
        <v>23</v>
      </c>
      <c r="D13" s="4" t="b">
        <v>1</v>
      </c>
      <c r="E13" s="33"/>
    </row>
    <row r="14" spans="1:5" ht="30" x14ac:dyDescent="0.25">
      <c r="A14" s="4" t="s">
        <v>401</v>
      </c>
      <c r="B14" s="4" t="s">
        <v>402</v>
      </c>
      <c r="C14" s="25" t="s">
        <v>23</v>
      </c>
      <c r="D14" s="4" t="b">
        <v>1</v>
      </c>
      <c r="E14" s="33"/>
    </row>
    <row r="15" spans="1:5" x14ac:dyDescent="0.25">
      <c r="A15" s="4" t="s">
        <v>403</v>
      </c>
      <c r="B15" s="4" t="s">
        <v>404</v>
      </c>
      <c r="C15" s="25" t="s">
        <v>23</v>
      </c>
      <c r="D15" s="4" t="b">
        <v>1</v>
      </c>
      <c r="E15" s="33"/>
    </row>
    <row r="16" spans="1:5" ht="30" x14ac:dyDescent="0.25">
      <c r="A16" s="4" t="s">
        <v>405</v>
      </c>
      <c r="B16" s="4" t="s">
        <v>406</v>
      </c>
      <c r="C16" s="25" t="s">
        <v>23</v>
      </c>
      <c r="D16" s="4" t="b">
        <v>1</v>
      </c>
      <c r="E16" s="33"/>
    </row>
    <row r="17" spans="1:5" ht="30" x14ac:dyDescent="0.25">
      <c r="A17" s="4" t="s">
        <v>407</v>
      </c>
      <c r="B17" s="4" t="s">
        <v>408</v>
      </c>
      <c r="C17" s="25" t="s">
        <v>23</v>
      </c>
      <c r="D17" s="4" t="b">
        <v>1</v>
      </c>
      <c r="E17" s="33"/>
    </row>
    <row r="18" spans="1:5" ht="30" x14ac:dyDescent="0.25">
      <c r="A18" s="4" t="s">
        <v>409</v>
      </c>
      <c r="B18" s="4" t="s">
        <v>410</v>
      </c>
      <c r="C18" s="25" t="s">
        <v>23</v>
      </c>
      <c r="D18" s="4" t="b">
        <v>1</v>
      </c>
      <c r="E18" s="33"/>
    </row>
    <row r="19" spans="1:5" ht="30" x14ac:dyDescent="0.25">
      <c r="A19" s="4" t="s">
        <v>411</v>
      </c>
      <c r="B19" s="4" t="s">
        <v>412</v>
      </c>
      <c r="C19" s="25" t="s">
        <v>23</v>
      </c>
      <c r="D19" s="4" t="b">
        <v>1</v>
      </c>
      <c r="E19" s="33"/>
    </row>
    <row r="20" spans="1:5" ht="30" x14ac:dyDescent="0.25">
      <c r="A20" s="4" t="s">
        <v>413</v>
      </c>
      <c r="B20" s="4" t="s">
        <v>414</v>
      </c>
      <c r="C20" s="25" t="s">
        <v>23</v>
      </c>
      <c r="D20" s="4" t="b">
        <v>1</v>
      </c>
      <c r="E20" s="33"/>
    </row>
    <row r="21" spans="1:5" ht="30" x14ac:dyDescent="0.25">
      <c r="A21" s="4" t="s">
        <v>415</v>
      </c>
      <c r="B21" s="4" t="s">
        <v>416</v>
      </c>
      <c r="C21" s="25" t="s">
        <v>23</v>
      </c>
      <c r="D21" s="4" t="b">
        <v>1</v>
      </c>
      <c r="E21" s="33"/>
    </row>
    <row r="22" spans="1:5" x14ac:dyDescent="0.25">
      <c r="A22" s="4" t="s">
        <v>251</v>
      </c>
      <c r="B22" s="4" t="s">
        <v>252</v>
      </c>
      <c r="C22" s="25" t="s">
        <v>23</v>
      </c>
      <c r="D22" s="4" t="b">
        <v>1</v>
      </c>
      <c r="E22" s="33"/>
    </row>
    <row r="23" spans="1:5" x14ac:dyDescent="0.25">
      <c r="A23" s="4" t="s">
        <v>253</v>
      </c>
      <c r="B23" s="4" t="s">
        <v>254</v>
      </c>
      <c r="C23" s="25" t="s">
        <v>40</v>
      </c>
      <c r="D23" s="4" t="s">
        <v>255</v>
      </c>
      <c r="E23" s="33"/>
    </row>
    <row r="24" spans="1:5" ht="45" x14ac:dyDescent="0.25">
      <c r="A24" s="4" t="s">
        <v>256</v>
      </c>
      <c r="B24" s="4" t="s">
        <v>257</v>
      </c>
      <c r="C24" s="25" t="s">
        <v>51</v>
      </c>
      <c r="D24" s="4" t="s">
        <v>258</v>
      </c>
      <c r="E24" s="33"/>
    </row>
    <row r="25" spans="1:5" ht="60" x14ac:dyDescent="0.25">
      <c r="A25" s="4" t="s">
        <v>259</v>
      </c>
      <c r="B25" s="4" t="s">
        <v>260</v>
      </c>
      <c r="C25" s="25" t="s">
        <v>40</v>
      </c>
      <c r="D25" s="9" t="s">
        <v>261</v>
      </c>
      <c r="E25" s="33"/>
    </row>
    <row r="26" spans="1:5" ht="45" x14ac:dyDescent="0.25">
      <c r="A26" s="4" t="s">
        <v>262</v>
      </c>
      <c r="B26" s="4" t="s">
        <v>263</v>
      </c>
      <c r="C26" s="4" t="s">
        <v>51</v>
      </c>
      <c r="D26" s="4" t="s">
        <v>264</v>
      </c>
      <c r="E26" s="33"/>
    </row>
    <row r="27" spans="1:5" ht="45" x14ac:dyDescent="0.25">
      <c r="A27" s="4" t="s">
        <v>265</v>
      </c>
      <c r="B27" s="4" t="s">
        <v>266</v>
      </c>
      <c r="C27" s="4" t="s">
        <v>51</v>
      </c>
      <c r="D27" s="4" t="s">
        <v>267</v>
      </c>
      <c r="E27" s="33"/>
    </row>
    <row r="28" spans="1:5" x14ac:dyDescent="0.25">
      <c r="A28" s="4" t="s">
        <v>268</v>
      </c>
      <c r="B28" s="4" t="s">
        <v>269</v>
      </c>
      <c r="C28" s="25" t="s">
        <v>51</v>
      </c>
      <c r="D28" s="4" t="s">
        <v>270</v>
      </c>
      <c r="E28" s="33"/>
    </row>
  </sheetData>
  <dataValidations count="1">
    <dataValidation type="whole" allowBlank="1" showInputMessage="1" showErrorMessage="1" sqref="D10:E10" xr:uid="{00000000-0002-0000-0100-000000000000}">
      <formula1>1</formula1>
      <formula2>4</formula2>
    </dataValidation>
  </dataValidations>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2">
        <x14:dataValidation type="list" allowBlank="1" showInputMessage="1" showErrorMessage="1" xr:uid="{DB600AE7-F29C-4A62-A245-4202EB4957C6}">
          <x14:formula1>
            <xm:f>clinical_guidelines!$A$2:$A$10</xm:f>
          </x14:formula1>
          <xm:sqref>D25:E25</xm:sqref>
        </x14:dataValidation>
        <x14:dataValidation type="list" allowBlank="1" showInputMessage="1" showErrorMessage="1" xr:uid="{3C2D92CD-1B91-4C74-A7D8-A2C48ABE6169}">
          <x14:formula1>
            <xm:f>scoring_method!$A$1:$A$3</xm:f>
          </x14:formula1>
          <xm:sqref>D23:E23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1AF61-0FD7-44B5-A03A-3D64D285A5F7}">
  <dimension ref="A1:G16"/>
  <sheetViews>
    <sheetView workbookViewId="0">
      <selection activeCell="C11" sqref="C11"/>
    </sheetView>
  </sheetViews>
  <sheetFormatPr defaultRowHeight="15" x14ac:dyDescent="0.25"/>
  <cols>
    <col min="1" max="1" width="25.140625" customWidth="1"/>
    <col min="2" max="2" width="45.5703125" customWidth="1"/>
    <col min="3" max="3" width="13.28515625" customWidth="1"/>
    <col min="4" max="4" width="11.85546875" customWidth="1"/>
    <col min="5" max="5" width="38.5703125" customWidth="1"/>
    <col min="6" max="6" width="20.7109375" customWidth="1"/>
    <col min="7" max="7" width="16.28515625" customWidth="1"/>
  </cols>
  <sheetData>
    <row r="1" spans="1:7" ht="35.25" customHeight="1" x14ac:dyDescent="0.25">
      <c r="A1" s="53" t="s">
        <v>271</v>
      </c>
      <c r="B1" s="53"/>
      <c r="C1" s="53"/>
      <c r="D1" s="53"/>
      <c r="E1" s="53"/>
      <c r="F1" s="53"/>
      <c r="G1" s="53"/>
    </row>
    <row r="2" spans="1:7" ht="63" customHeight="1" x14ac:dyDescent="0.25">
      <c r="A2" s="39" t="s">
        <v>272</v>
      </c>
      <c r="B2" s="39" t="s">
        <v>273</v>
      </c>
      <c r="C2" s="40" t="s">
        <v>274</v>
      </c>
      <c r="D2" s="40" t="s">
        <v>275</v>
      </c>
      <c r="E2" s="40" t="s">
        <v>276</v>
      </c>
      <c r="F2" s="40" t="s">
        <v>277</v>
      </c>
      <c r="G2" s="39" t="s">
        <v>278</v>
      </c>
    </row>
    <row r="3" spans="1:7" x14ac:dyDescent="0.25">
      <c r="A3" s="3" t="s">
        <v>279</v>
      </c>
      <c r="B3" s="3" t="s">
        <v>280</v>
      </c>
      <c r="C3" s="41" t="s">
        <v>281</v>
      </c>
      <c r="D3" s="41" t="s">
        <v>282</v>
      </c>
      <c r="E3" s="3" t="s">
        <v>283</v>
      </c>
      <c r="F3" s="42" t="s">
        <v>284</v>
      </c>
      <c r="G3" s="42">
        <v>256</v>
      </c>
    </row>
    <row r="4" spans="1:7" x14ac:dyDescent="0.25">
      <c r="A4" s="3" t="s">
        <v>285</v>
      </c>
      <c r="B4" s="3" t="s">
        <v>286</v>
      </c>
      <c r="C4" s="41" t="s">
        <v>287</v>
      </c>
      <c r="D4" s="41" t="s">
        <v>282</v>
      </c>
      <c r="E4" s="3" t="s">
        <v>283</v>
      </c>
      <c r="F4" s="42" t="s">
        <v>284</v>
      </c>
      <c r="G4" s="42">
        <v>256</v>
      </c>
    </row>
    <row r="5" spans="1:7" x14ac:dyDescent="0.25">
      <c r="A5" s="3" t="s">
        <v>288</v>
      </c>
      <c r="B5" s="3" t="s">
        <v>289</v>
      </c>
      <c r="C5" s="41" t="s">
        <v>290</v>
      </c>
      <c r="D5" s="41" t="s">
        <v>291</v>
      </c>
      <c r="E5" s="3" t="s">
        <v>283</v>
      </c>
      <c r="F5" s="42" t="s">
        <v>284</v>
      </c>
      <c r="G5" s="42">
        <v>256</v>
      </c>
    </row>
    <row r="6" spans="1:7" x14ac:dyDescent="0.25">
      <c r="A6" s="3" t="s">
        <v>292</v>
      </c>
      <c r="B6" s="3" t="s">
        <v>293</v>
      </c>
      <c r="C6" s="41" t="s">
        <v>294</v>
      </c>
      <c r="D6" s="41" t="s">
        <v>295</v>
      </c>
      <c r="E6" s="3" t="s">
        <v>283</v>
      </c>
      <c r="F6" s="42" t="s">
        <v>284</v>
      </c>
      <c r="G6" s="42">
        <v>256</v>
      </c>
    </row>
    <row r="7" spans="1:7" x14ac:dyDescent="0.25">
      <c r="A7" s="3" t="s">
        <v>296</v>
      </c>
      <c r="B7" s="3" t="s">
        <v>289</v>
      </c>
      <c r="C7" s="41" t="s">
        <v>295</v>
      </c>
      <c r="D7" s="41" t="s">
        <v>297</v>
      </c>
      <c r="E7" s="3" t="s">
        <v>283</v>
      </c>
      <c r="F7" s="42" t="s">
        <v>284</v>
      </c>
      <c r="G7" s="42">
        <v>256</v>
      </c>
    </row>
    <row r="8" spans="1:7" x14ac:dyDescent="0.25">
      <c r="A8" s="3" t="s">
        <v>298</v>
      </c>
      <c r="B8" s="3" t="s">
        <v>299</v>
      </c>
      <c r="C8" s="41" t="s">
        <v>300</v>
      </c>
      <c r="D8" s="43" t="s">
        <v>301</v>
      </c>
      <c r="E8" s="3" t="s">
        <v>302</v>
      </c>
      <c r="F8" s="42" t="s">
        <v>303</v>
      </c>
      <c r="G8" s="42">
        <v>32</v>
      </c>
    </row>
    <row r="9" spans="1:7" x14ac:dyDescent="0.25">
      <c r="A9" s="3" t="s">
        <v>304</v>
      </c>
      <c r="B9" s="3" t="s">
        <v>305</v>
      </c>
      <c r="C9" s="41" t="s">
        <v>306</v>
      </c>
      <c r="D9" s="43" t="s">
        <v>301</v>
      </c>
      <c r="E9" s="3" t="s">
        <v>302</v>
      </c>
      <c r="F9" s="42" t="s">
        <v>303</v>
      </c>
      <c r="G9" s="42">
        <v>32</v>
      </c>
    </row>
    <row r="10" spans="1:7" x14ac:dyDescent="0.25">
      <c r="A10" s="3" t="s">
        <v>307</v>
      </c>
      <c r="B10" s="3" t="s">
        <v>308</v>
      </c>
      <c r="C10" s="41" t="s">
        <v>309</v>
      </c>
      <c r="D10" s="43" t="s">
        <v>301</v>
      </c>
      <c r="E10" s="3" t="s">
        <v>310</v>
      </c>
      <c r="F10" s="42"/>
      <c r="G10" s="42">
        <v>32</v>
      </c>
    </row>
    <row r="11" spans="1:7" x14ac:dyDescent="0.25">
      <c r="A11" s="3" t="s">
        <v>311</v>
      </c>
      <c r="B11" s="3" t="s">
        <v>312</v>
      </c>
      <c r="C11" s="41" t="s">
        <v>313</v>
      </c>
      <c r="D11" s="43" t="s">
        <v>301</v>
      </c>
      <c r="E11" s="3" t="s">
        <v>314</v>
      </c>
      <c r="F11" s="42" t="s">
        <v>303</v>
      </c>
      <c r="G11" s="42">
        <v>32</v>
      </c>
    </row>
    <row r="12" spans="1:7" x14ac:dyDescent="0.25">
      <c r="A12" s="3" t="s">
        <v>315</v>
      </c>
      <c r="B12" s="3" t="s">
        <v>316</v>
      </c>
      <c r="C12" s="41" t="s">
        <v>315</v>
      </c>
      <c r="D12" s="43" t="s">
        <v>301</v>
      </c>
      <c r="E12" s="3" t="s">
        <v>317</v>
      </c>
      <c r="F12" s="42"/>
      <c r="G12" s="42">
        <v>1</v>
      </c>
    </row>
    <row r="13" spans="1:7" x14ac:dyDescent="0.25">
      <c r="A13" s="3" t="s">
        <v>318</v>
      </c>
      <c r="B13" s="3" t="s">
        <v>319</v>
      </c>
      <c r="C13" s="3"/>
      <c r="D13" s="3"/>
      <c r="E13" s="3"/>
      <c r="F13" s="3"/>
      <c r="G13" s="3"/>
    </row>
    <row r="14" spans="1:7" x14ac:dyDescent="0.25">
      <c r="A14" s="3" t="s">
        <v>320</v>
      </c>
      <c r="B14" s="3" t="s">
        <v>321</v>
      </c>
      <c r="C14" s="41" t="s">
        <v>309</v>
      </c>
      <c r="D14" s="43" t="s">
        <v>301</v>
      </c>
      <c r="E14" s="3" t="s">
        <v>322</v>
      </c>
      <c r="F14" s="3"/>
      <c r="G14" s="42">
        <v>128</v>
      </c>
    </row>
    <row r="15" spans="1:7" x14ac:dyDescent="0.25">
      <c r="A15" s="3" t="s">
        <v>323</v>
      </c>
      <c r="B15" s="3" t="s">
        <v>321</v>
      </c>
      <c r="C15" s="41" t="s">
        <v>309</v>
      </c>
      <c r="D15" s="43" t="s">
        <v>301</v>
      </c>
      <c r="E15" s="3" t="s">
        <v>322</v>
      </c>
      <c r="F15" s="3"/>
      <c r="G15" s="42">
        <v>128</v>
      </c>
    </row>
    <row r="16" spans="1:7" x14ac:dyDescent="0.25">
      <c r="A16" s="3" t="s">
        <v>324</v>
      </c>
      <c r="B16" s="3" t="s">
        <v>321</v>
      </c>
      <c r="C16" s="41" t="s">
        <v>309</v>
      </c>
      <c r="D16" s="43" t="s">
        <v>301</v>
      </c>
      <c r="E16" s="3" t="s">
        <v>322</v>
      </c>
      <c r="F16" s="3"/>
      <c r="G16" s="42">
        <v>128</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4DE3-F3E0-4096-96F7-20209C0AC790}">
  <dimension ref="A1:E4"/>
  <sheetViews>
    <sheetView workbookViewId="0">
      <selection activeCell="C4" sqref="C4"/>
    </sheetView>
  </sheetViews>
  <sheetFormatPr defaultRowHeight="15" x14ac:dyDescent="0.25"/>
  <cols>
    <col min="1" max="1" width="34.42578125" customWidth="1"/>
    <col min="2" max="2" width="40.42578125" customWidth="1"/>
    <col min="3" max="3" width="26.140625" customWidth="1"/>
    <col min="4" max="4" width="26.85546875" customWidth="1"/>
    <col min="5" max="5" width="34.42578125" customWidth="1"/>
  </cols>
  <sheetData>
    <row r="1" spans="1:5" x14ac:dyDescent="0.25">
      <c r="A1" s="1" t="s">
        <v>1</v>
      </c>
      <c r="B1" s="2" t="s">
        <v>2</v>
      </c>
      <c r="C1" s="2" t="s">
        <v>3</v>
      </c>
      <c r="D1" s="2" t="s">
        <v>4</v>
      </c>
      <c r="E1" s="28" t="s">
        <v>5</v>
      </c>
    </row>
    <row r="2" spans="1:5" ht="30" x14ac:dyDescent="0.25">
      <c r="A2" s="3" t="s">
        <v>325</v>
      </c>
      <c r="B2" s="4" t="s">
        <v>326</v>
      </c>
      <c r="C2" s="4" t="s">
        <v>327</v>
      </c>
      <c r="D2" s="5" t="s">
        <v>328</v>
      </c>
      <c r="E2" s="36"/>
    </row>
    <row r="3" spans="1:5" ht="150" x14ac:dyDescent="0.25">
      <c r="A3" s="3" t="s">
        <v>329</v>
      </c>
      <c r="B3" s="4" t="s">
        <v>330</v>
      </c>
      <c r="C3" s="3" t="s">
        <v>51</v>
      </c>
      <c r="D3" s="3"/>
      <c r="E3" s="27"/>
    </row>
    <row r="4" spans="1:5" ht="195" x14ac:dyDescent="0.25">
      <c r="A4" s="3" t="s">
        <v>331</v>
      </c>
      <c r="B4" s="4" t="s">
        <v>332</v>
      </c>
      <c r="C4" s="3" t="s">
        <v>51</v>
      </c>
      <c r="D4" s="3"/>
      <c r="E4" s="27"/>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topLeftCell="A3" zoomScaleNormal="100" workbookViewId="0">
      <selection activeCell="I1" sqref="I1:I1048576"/>
    </sheetView>
  </sheetViews>
  <sheetFormatPr defaultRowHeight="15" x14ac:dyDescent="0.25"/>
  <cols>
    <col min="1" max="1" width="22"/>
    <col min="2" max="2" width="25.7109375" customWidth="1"/>
    <col min="3" max="3" width="10.5703125"/>
    <col min="4" max="4" width="16.7109375"/>
    <col min="5" max="5" width="41.28515625" style="8"/>
    <col min="6" max="6" width="22.28515625"/>
    <col min="7" max="7" width="32.7109375"/>
    <col min="8" max="8" width="59" style="8"/>
    <col min="9" max="9" width="0" hidden="1" customWidth="1"/>
    <col min="10" max="1025" width="8.28515625"/>
  </cols>
  <sheetData>
    <row r="1" spans="1:9" s="11" customFormat="1" ht="90" x14ac:dyDescent="0.25">
      <c r="A1" s="10" t="s">
        <v>333</v>
      </c>
      <c r="B1" s="10" t="s">
        <v>334</v>
      </c>
      <c r="C1" s="10" t="s">
        <v>335</v>
      </c>
      <c r="D1" s="10" t="s">
        <v>336</v>
      </c>
      <c r="E1" s="10" t="s">
        <v>337</v>
      </c>
      <c r="F1" s="10" t="s">
        <v>338</v>
      </c>
      <c r="G1" s="10" t="s">
        <v>339</v>
      </c>
      <c r="H1" s="10" t="s">
        <v>340</v>
      </c>
      <c r="I1" s="10" t="s">
        <v>341</v>
      </c>
    </row>
    <row r="2" spans="1:9" ht="60" x14ac:dyDescent="0.25">
      <c r="A2" s="12" t="s">
        <v>342</v>
      </c>
      <c r="B2" s="12" t="s">
        <v>343</v>
      </c>
      <c r="C2" s="12" t="s">
        <v>344</v>
      </c>
      <c r="D2" s="12"/>
      <c r="E2" s="13" t="s">
        <v>345</v>
      </c>
      <c r="F2" s="12" t="s">
        <v>346</v>
      </c>
      <c r="G2" s="12" t="s">
        <v>347</v>
      </c>
      <c r="H2" s="13" t="s">
        <v>348</v>
      </c>
      <c r="I2" s="13" t="s">
        <v>349</v>
      </c>
    </row>
    <row r="3" spans="1:9" ht="60" x14ac:dyDescent="0.25">
      <c r="A3" s="9" t="s">
        <v>261</v>
      </c>
      <c r="B3" s="9" t="s">
        <v>350</v>
      </c>
      <c r="C3" s="9" t="s">
        <v>344</v>
      </c>
      <c r="D3" s="9" t="s">
        <v>351</v>
      </c>
      <c r="E3" s="14" t="s">
        <v>352</v>
      </c>
      <c r="F3" s="9" t="s">
        <v>346</v>
      </c>
      <c r="G3" t="s">
        <v>353</v>
      </c>
      <c r="H3" s="15" t="s">
        <v>354</v>
      </c>
      <c r="I3" s="9" t="s">
        <v>355</v>
      </c>
    </row>
    <row r="4" spans="1:9" ht="60" x14ac:dyDescent="0.25">
      <c r="A4" t="s">
        <v>356</v>
      </c>
      <c r="B4" t="s">
        <v>350</v>
      </c>
      <c r="C4" t="s">
        <v>344</v>
      </c>
      <c r="D4" t="s">
        <v>357</v>
      </c>
      <c r="E4" s="16" t="s">
        <v>358</v>
      </c>
      <c r="F4" s="16" t="s">
        <v>346</v>
      </c>
      <c r="G4" t="s">
        <v>353</v>
      </c>
      <c r="H4" s="8" t="s">
        <v>354</v>
      </c>
      <c r="I4" t="s">
        <v>359</v>
      </c>
    </row>
    <row r="5" spans="1:9" ht="60" x14ac:dyDescent="0.25">
      <c r="A5" t="s">
        <v>360</v>
      </c>
      <c r="B5" t="s">
        <v>350</v>
      </c>
      <c r="C5" t="s">
        <v>361</v>
      </c>
      <c r="E5" s="17" t="s">
        <v>358</v>
      </c>
      <c r="F5" t="s">
        <v>362</v>
      </c>
      <c r="G5" t="s">
        <v>353</v>
      </c>
      <c r="H5" s="8" t="s">
        <v>354</v>
      </c>
      <c r="I5" s="18" t="s">
        <v>359</v>
      </c>
    </row>
    <row r="6" spans="1:9" ht="30" x14ac:dyDescent="0.25">
      <c r="A6" s="9" t="s">
        <v>363</v>
      </c>
      <c r="B6" s="9" t="s">
        <v>364</v>
      </c>
      <c r="C6" s="9" t="s">
        <v>344</v>
      </c>
      <c r="D6" s="9" t="s">
        <v>351</v>
      </c>
      <c r="E6" s="14" t="s">
        <v>365</v>
      </c>
      <c r="F6" s="9" t="s">
        <v>346</v>
      </c>
      <c r="G6" s="9" t="s">
        <v>366</v>
      </c>
      <c r="H6" s="15" t="s">
        <v>367</v>
      </c>
      <c r="I6" s="9" t="s">
        <v>368</v>
      </c>
    </row>
    <row r="7" spans="1:9" ht="30" x14ac:dyDescent="0.25">
      <c r="A7" t="s">
        <v>369</v>
      </c>
      <c r="B7" t="s">
        <v>364</v>
      </c>
      <c r="C7" t="s">
        <v>344</v>
      </c>
      <c r="D7" t="s">
        <v>357</v>
      </c>
      <c r="E7" s="16" t="s">
        <v>370</v>
      </c>
      <c r="F7" t="s">
        <v>346</v>
      </c>
      <c r="G7" t="s">
        <v>366</v>
      </c>
      <c r="H7" s="8" t="s">
        <v>367</v>
      </c>
      <c r="I7" t="s">
        <v>355</v>
      </c>
    </row>
    <row r="8" spans="1:9" ht="60" x14ac:dyDescent="0.25">
      <c r="A8" s="9" t="s">
        <v>371</v>
      </c>
      <c r="B8" s="9" t="s">
        <v>372</v>
      </c>
      <c r="C8" s="9" t="s">
        <v>344</v>
      </c>
      <c r="D8" s="9" t="s">
        <v>351</v>
      </c>
      <c r="E8" s="14" t="s">
        <v>373</v>
      </c>
      <c r="F8" s="9" t="s">
        <v>346</v>
      </c>
      <c r="G8" s="9" t="s">
        <v>366</v>
      </c>
      <c r="H8" s="15" t="s">
        <v>374</v>
      </c>
      <c r="I8" s="9" t="s">
        <v>368</v>
      </c>
    </row>
    <row r="9" spans="1:9" ht="60" x14ac:dyDescent="0.25">
      <c r="A9" t="s">
        <v>375</v>
      </c>
      <c r="B9" t="s">
        <v>372</v>
      </c>
      <c r="C9" t="s">
        <v>344</v>
      </c>
      <c r="D9" t="s">
        <v>376</v>
      </c>
      <c r="E9" s="16" t="s">
        <v>377</v>
      </c>
      <c r="F9" t="s">
        <v>346</v>
      </c>
      <c r="G9" t="s">
        <v>366</v>
      </c>
      <c r="H9" s="8" t="s">
        <v>374</v>
      </c>
      <c r="I9" t="s">
        <v>355</v>
      </c>
    </row>
    <row r="10" spans="1:9" ht="60" x14ac:dyDescent="0.25">
      <c r="A10" s="18" t="s">
        <v>378</v>
      </c>
      <c r="B10" s="18" t="s">
        <v>372</v>
      </c>
      <c r="C10" s="18" t="s">
        <v>361</v>
      </c>
      <c r="D10" s="18"/>
      <c r="E10" s="19" t="s">
        <v>379</v>
      </c>
      <c r="F10" s="18" t="s">
        <v>362</v>
      </c>
      <c r="G10" s="18" t="s">
        <v>380</v>
      </c>
      <c r="H10" s="19" t="s">
        <v>374</v>
      </c>
      <c r="I10" s="18" t="s">
        <v>368</v>
      </c>
    </row>
  </sheetData>
  <pageMargins left="0.7" right="0.7" top="0.75" bottom="0.75" header="0.51180555555555496" footer="0.51180555555555496"/>
  <pageSetup paperSize="0" scale="0" firstPageNumber="0" orientation="portrait" usePrinterDefaults="0"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7F96-D22F-4B91-856E-B78F7C5EB286}">
  <dimension ref="A1:A3"/>
  <sheetViews>
    <sheetView workbookViewId="0">
      <selection activeCell="A3" sqref="A3"/>
    </sheetView>
  </sheetViews>
  <sheetFormatPr defaultRowHeight="15" x14ac:dyDescent="0.25"/>
  <sheetData>
    <row r="1" spans="1:1" x14ac:dyDescent="0.25">
      <c r="A1" t="s">
        <v>255</v>
      </c>
    </row>
    <row r="2" spans="1:1" x14ac:dyDescent="0.25">
      <c r="A2" t="s">
        <v>381</v>
      </c>
    </row>
    <row r="3" spans="1:1" x14ac:dyDescent="0.25">
      <c r="A3" t="s">
        <v>382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2FA6-4BE3-442F-90E9-FE31D98D256E}">
  <dimension ref="A1:A3"/>
  <sheetViews>
    <sheetView workbookViewId="0">
      <selection activeCell="A6" sqref="A6"/>
    </sheetView>
  </sheetViews>
  <sheetFormatPr defaultRowHeight="15" x14ac:dyDescent="0.25"/>
  <sheetData>
    <row r="1" spans="1:1" x14ac:dyDescent="0.25">
      <c r="A1" t="s">
        <v>44</v>
      </c>
    </row>
    <row r="2" spans="1:1" x14ac:dyDescent="0.25">
      <c r="A2" t="s">
        <v>383</v>
      </c>
    </row>
    <row r="3" spans="1:1" x14ac:dyDescent="0.25">
      <c r="A3" t="s">
        <v>384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155A-4D81-4095-8948-45E8AABEC297}">
  <dimension ref="A1:A6"/>
  <sheetViews>
    <sheetView workbookViewId="0">
      <selection activeCell="A20" sqref="A20"/>
    </sheetView>
  </sheetViews>
  <sheetFormatPr defaultRowHeight="15" x14ac:dyDescent="0.25"/>
  <cols>
    <col min="1" max="1" width="39.28515625" customWidth="1"/>
  </cols>
  <sheetData>
    <row r="1" spans="1:1" ht="16.5" x14ac:dyDescent="0.25">
      <c r="A1" s="26" t="s">
        <v>41</v>
      </c>
    </row>
    <row r="2" spans="1:1" ht="16.5" x14ac:dyDescent="0.25">
      <c r="A2" s="26" t="s">
        <v>385</v>
      </c>
    </row>
    <row r="3" spans="1:1" ht="16.5" x14ac:dyDescent="0.25">
      <c r="A3" s="26" t="s">
        <v>386</v>
      </c>
    </row>
    <row r="4" spans="1:1" ht="16.5" x14ac:dyDescent="0.25">
      <c r="A4" s="26"/>
    </row>
    <row r="5" spans="1:1" ht="16.5" x14ac:dyDescent="0.25">
      <c r="A5" s="26"/>
    </row>
    <row r="6" spans="1:1" ht="16.5" x14ac:dyDescent="0.25">
      <c r="A6" s="26"/>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zoomScaleNormal="100" workbookViewId="0">
      <selection activeCell="C27" sqref="C27"/>
    </sheetView>
  </sheetViews>
  <sheetFormatPr defaultRowHeight="15" x14ac:dyDescent="0.25"/>
  <cols>
    <col min="1" max="1025" width="8.140625"/>
  </cols>
  <sheetData>
    <row r="1" spans="1:1" x14ac:dyDescent="0.25">
      <c r="A1" t="s">
        <v>387</v>
      </c>
    </row>
    <row r="2" spans="1:1" x14ac:dyDescent="0.25">
      <c r="A2" t="s">
        <v>388</v>
      </c>
    </row>
    <row r="3" spans="1:1" x14ac:dyDescent="0.25">
      <c r="A3" t="s">
        <v>389</v>
      </c>
    </row>
    <row r="4" spans="1:1" x14ac:dyDescent="0.25">
      <c r="A4" t="s">
        <v>390</v>
      </c>
    </row>
    <row r="5" spans="1:1" x14ac:dyDescent="0.25">
      <c r="A5" t="s">
        <v>391</v>
      </c>
    </row>
    <row r="6" spans="1:1" x14ac:dyDescent="0.25">
      <c r="A6" t="s">
        <v>392</v>
      </c>
    </row>
  </sheetData>
  <pageMargins left="0.7" right="0.7" top="0.75" bottom="0.75" header="0.51180555555555496" footer="0.51180555555555496"/>
  <pageSetup paperSize="0" scale="0" firstPageNumber="0" orientation="portrait" usePrinterDefaults="0"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zoomScaleNormal="100" workbookViewId="0">
      <selection activeCell="A4" sqref="A4"/>
    </sheetView>
  </sheetViews>
  <sheetFormatPr defaultRowHeight="15" x14ac:dyDescent="0.25"/>
  <cols>
    <col min="1" max="1025" width="8.140625"/>
  </cols>
  <sheetData>
    <row r="1" spans="1:1" x14ac:dyDescent="0.25">
      <c r="A1" t="s">
        <v>393</v>
      </c>
    </row>
    <row r="2" spans="1:1" x14ac:dyDescent="0.25">
      <c r="A2" t="s">
        <v>394</v>
      </c>
    </row>
    <row r="3" spans="1:1" x14ac:dyDescent="0.25">
      <c r="A3" t="s">
        <v>82</v>
      </c>
    </row>
  </sheetData>
  <pageMargins left="0.7" right="0.7" top="0.75" bottom="0.75" header="0.51180555555555496" footer="0.51180555555555496"/>
  <pageSetup paperSize="0" scale="0" firstPageNumber="0" orientation="portrait" usePrinterDefaults="0"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zoomScaleNormal="100" workbookViewId="0">
      <selection activeCell="A4" sqref="A4"/>
    </sheetView>
  </sheetViews>
  <sheetFormatPr defaultRowHeight="15" x14ac:dyDescent="0.25"/>
  <cols>
    <col min="1" max="1025" width="8.140625"/>
  </cols>
  <sheetData>
    <row r="1" spans="1:1" x14ac:dyDescent="0.25">
      <c r="A1" t="s">
        <v>107</v>
      </c>
    </row>
    <row r="2" spans="1:1" x14ac:dyDescent="0.25">
      <c r="A2" t="s">
        <v>395</v>
      </c>
    </row>
    <row r="3" spans="1:1" x14ac:dyDescent="0.25">
      <c r="A3" t="s">
        <v>396</v>
      </c>
    </row>
  </sheetData>
  <pageMargins left="0.7" right="0.7" top="0.75" bottom="0.75" header="0.51180555555555496" footer="0.51180555555555496"/>
  <pageSetup paperSize="0" scale="0" firstPageNumber="0" orientation="portrait" usePrinterDefaults="0"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zoomScaleNormal="100" workbookViewId="0">
      <selection activeCell="B13" sqref="B13"/>
    </sheetView>
  </sheetViews>
  <sheetFormatPr defaultRowHeight="15" x14ac:dyDescent="0.25"/>
  <cols>
    <col min="1" max="1025" width="8.140625"/>
  </cols>
  <sheetData>
    <row r="1" spans="1:1" x14ac:dyDescent="0.25">
      <c r="A1" t="b">
        <f>TRUE()</f>
        <v>1</v>
      </c>
    </row>
    <row r="2" spans="1:1" x14ac:dyDescent="0.25">
      <c r="A2" t="b">
        <f>FALSE()</f>
        <v>0</v>
      </c>
    </row>
  </sheetData>
  <pageMargins left="0.7" right="0.7" top="0.75" bottom="0.75" header="0.51180555555555496" footer="0.51180555555555496"/>
  <pageSetup paperSize="0" scale="0" firstPageNumber="0" orientation="portrait" usePrinterDefaults="0"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Actigraphy</vt:lpstr>
      <vt:lpstr>Polysomnography</vt:lpstr>
      <vt:lpstr>Polysomnography_Signals</vt:lpstr>
      <vt:lpstr>Animal</vt:lpstr>
      <vt:lpstr>clinical_guidelines</vt:lpstr>
      <vt:lpstr>scoring_method</vt:lpstr>
      <vt:lpstr>sleep_questionniare</vt:lpstr>
      <vt:lpstr>access_restriction_list</vt:lpstr>
      <vt:lpstr>study_deisng_input</vt:lpstr>
      <vt:lpstr>gender_input</vt:lpstr>
      <vt:lpstr>blinded_input</vt:lpstr>
      <vt:lpstr>boolean_input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Ying</dc:creator>
  <cp:keywords/>
  <dc:description/>
  <cp:lastModifiedBy>Ying Zhang</cp:lastModifiedBy>
  <cp:revision>7</cp:revision>
  <dcterms:created xsi:type="dcterms:W3CDTF">2020-01-03T16:04:39Z</dcterms:created>
  <dcterms:modified xsi:type="dcterms:W3CDTF">2025-08-21T13:29:48Z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